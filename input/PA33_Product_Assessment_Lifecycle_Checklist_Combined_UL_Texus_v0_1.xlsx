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obinXu(WovenbyToyot\Desktop\WR\adas-quality-trace\input\"/>
    </mc:Choice>
  </mc:AlternateContent>
  <xr:revisionPtr revIDLastSave="0" documentId="13_ncr:1_{F2E5C48A-0D03-4B88-9E46-137AD743B615}" xr6:coauthVersionLast="47" xr6:coauthVersionMax="47" xr10:uidLastSave="{00000000-0000-0000-0000-000000000000}"/>
  <bookViews>
    <workbookView xWindow="-75" yWindow="-16320" windowWidth="29040" windowHeight="15720" activeTab="4" xr2:uid="{00000000-000D-0000-FFFF-FFFF00000000}"/>
  </bookViews>
  <sheets>
    <sheet name="00_Readme" sheetId="1" r:id="rId1"/>
    <sheet name="01_All_Migrated_Integrated" sheetId="2" r:id="rId2"/>
    <sheet name="02_Dashboard" sheetId="3" r:id="rId3"/>
    <sheet name="03_Product_Quality_Scope" sheetId="4" r:id="rId4"/>
    <sheet name="03_QG_Check_Matrix" sheetId="5" r:id="rId5"/>
    <sheet name="05_QG_Pass_Rules" sheetId="6" r:id="rId6"/>
    <sheet name="06_Evidence_Library" sheetId="7" r:id="rId7"/>
    <sheet name="07_Raw_Data_UL" sheetId="8" r:id="rId8"/>
    <sheet name="08_Raw_Data_Texis" sheetId="9" r:id="rId9"/>
  </sheets>
  <definedNames>
    <definedName name="_xlnm._FilterDatabase" localSheetId="1" hidden="1">'01_All_Migrated_Integrated'!$A$1:$AH$250</definedName>
  </definedNames>
  <calcPr calcId="181029"/>
  <extLst>
    <ext uri="GoogleSheetsCustomDataVersion2">
      <go:sheetsCustomData xmlns:go="http://customooxmlschemas.google.com/" r:id="rId13" roundtripDataChecksum="4wfjJNfIPsqs46zOhCFfFwMwZoQ/S4CMWwAbtlm10Nc="/>
    </ext>
  </extLst>
</workbook>
</file>

<file path=xl/calcChain.xml><?xml version="1.0" encoding="utf-8"?>
<calcChain xmlns="http://schemas.openxmlformats.org/spreadsheetml/2006/main">
  <c r="H123" i="9" l="1"/>
  <c r="F123" i="9"/>
  <c r="H122" i="9"/>
  <c r="F122" i="9"/>
  <c r="H121" i="9"/>
  <c r="F121" i="9"/>
  <c r="H120" i="9"/>
  <c r="F120" i="9"/>
  <c r="H119" i="9"/>
  <c r="F119" i="9"/>
  <c r="H118" i="9"/>
  <c r="F118" i="9"/>
  <c r="H117" i="9"/>
  <c r="F117" i="9"/>
  <c r="H116" i="9"/>
  <c r="F116" i="9"/>
  <c r="H115" i="9"/>
  <c r="F115" i="9"/>
  <c r="F107" i="9"/>
  <c r="F106" i="9"/>
  <c r="F105" i="9"/>
  <c r="F103" i="9"/>
  <c r="F102" i="9"/>
  <c r="F101" i="9"/>
  <c r="F97" i="9"/>
  <c r="F96" i="9"/>
  <c r="F95" i="9"/>
  <c r="F94" i="9"/>
  <c r="F90" i="9"/>
  <c r="F89" i="9"/>
  <c r="F88" i="9"/>
  <c r="F87" i="9"/>
  <c r="F86" i="9"/>
  <c r="F85" i="9"/>
  <c r="F72" i="9"/>
  <c r="F60" i="9"/>
  <c r="F54" i="9"/>
  <c r="F50" i="9"/>
  <c r="F45" i="9"/>
  <c r="F37" i="9"/>
  <c r="F35" i="9"/>
  <c r="F31" i="9"/>
  <c r="F30" i="9"/>
  <c r="F29" i="9"/>
  <c r="F28" i="9"/>
  <c r="F27" i="9"/>
  <c r="F23" i="9"/>
  <c r="F22" i="9"/>
  <c r="F21" i="9"/>
  <c r="F20" i="9"/>
  <c r="F16" i="9"/>
  <c r="F15" i="9"/>
  <c r="F14" i="9"/>
  <c r="F13" i="9"/>
  <c r="F10" i="9"/>
  <c r="F9" i="9"/>
  <c r="F8" i="9"/>
  <c r="F7" i="9"/>
  <c r="F6" i="9"/>
  <c r="F5" i="9"/>
</calcChain>
</file>

<file path=xl/sharedStrings.xml><?xml version="1.0" encoding="utf-8"?>
<sst xmlns="http://schemas.openxmlformats.org/spreadsheetml/2006/main" count="12568" uniqueCount="2758">
  <si>
    <t>Workbook</t>
  </si>
  <si>
    <t>ADAS / ICV Product Quality All Migrated Integrated</t>
  </si>
  <si>
    <t>Version</t>
  </si>
  <si>
    <t>Priority Refined</t>
  </si>
  <si>
    <t>Main change 1</t>
  </si>
  <si>
    <t>Removed old F column content Measure Type. Quality Priority is now placed logically after Quality Sub-Characteristic.</t>
  </si>
  <si>
    <t>Main change 2</t>
  </si>
  <si>
    <t>Removed all columns from the previous Excel column AI onward.</t>
  </si>
  <si>
    <t>Main change 3</t>
  </si>
  <si>
    <t>Assigned P0 to the confirmed high-priority product quality attributes. Other attributes are assigned P1 or P2 based on current relevance.</t>
  </si>
  <si>
    <t>P0 rule</t>
  </si>
  <si>
    <t>Safety; Functional Suitability; Performance Efficiency; Reliability; Security Integrity; Maintainability Testability.</t>
  </si>
  <si>
    <t>P1 rule</t>
  </si>
  <si>
    <t>Relevant but secondary attributes, e.g. non-integrity security items, selected maintainability or data-quality related items.</t>
  </si>
  <si>
    <t>P2 rule</t>
  </si>
  <si>
    <t>Deferred or later-phase attributes, e.g. compatibility, interaction capability, portability, quality in use and economic risk.</t>
  </si>
  <si>
    <t>Generated on</t>
  </si>
  <si>
    <t>2026-05-26 09:03</t>
  </si>
  <si>
    <t>Original ID</t>
  </si>
  <si>
    <t>Target Entity</t>
  </si>
  <si>
    <t>Quality Model</t>
  </si>
  <si>
    <t>Quality Characteristic</t>
  </si>
  <si>
    <t>Quality Sub-Characteristic</t>
  </si>
  <si>
    <t>Quality Priority</t>
  </si>
  <si>
    <t>Proposed Measure ID</t>
  </si>
  <si>
    <t>Quality Measure</t>
  </si>
  <si>
    <t>Quality Goal with Conditions</t>
  </si>
  <si>
    <t>Quality Requirement Statement</t>
  </si>
  <si>
    <t>Measurement Method</t>
  </si>
  <si>
    <t>Evaluation Criteria</t>
  </si>
  <si>
    <t>Recommended Threshold Class</t>
  </si>
  <si>
    <t>Lifecycle Stage</t>
  </si>
  <si>
    <t>Assessment Checkpoint</t>
  </si>
  <si>
    <t>QG0 What to Check</t>
  </si>
  <si>
    <t>QG0 Pass Criteria</t>
  </si>
  <si>
    <t>QG0 Required Evidence</t>
  </si>
  <si>
    <t>QG1 What to Check</t>
  </si>
  <si>
    <t>QG1 Pass Criteria</t>
  </si>
  <si>
    <t>QG1 Required Evidence</t>
  </si>
  <si>
    <t>QG2 What to Check</t>
  </si>
  <si>
    <t>QG2 Pass Criteria</t>
  </si>
  <si>
    <t>QG2 Required Evidence</t>
  </si>
  <si>
    <t>QG3 What to Check</t>
  </si>
  <si>
    <t>QG3 Pass Criteria</t>
  </si>
  <si>
    <t>QG3 Required Evidence</t>
  </si>
  <si>
    <t>QG4 What to Check</t>
  </si>
  <si>
    <t>QG4 Pass Criteria</t>
  </si>
  <si>
    <t>QG4 Required Evidence</t>
  </si>
  <si>
    <t>QG5 What to Check</t>
  </si>
  <si>
    <t>QG5 Pass Criteria</t>
  </si>
  <si>
    <t>QG5 Required Evidence</t>
  </si>
  <si>
    <t>Expected Evidence</t>
  </si>
  <si>
    <t>1</t>
  </si>
  <si>
    <t>ADAS Product</t>
  </si>
  <si>
    <t>Measurement of product quality</t>
  </si>
  <si>
    <t>Functional Suitability</t>
  </si>
  <si>
    <t>Functional Completeness</t>
  </si>
  <si>
    <t>P0</t>
  </si>
  <si>
    <t>ADAS-FCp-001-G</t>
  </si>
  <si>
    <t>Functional completeness</t>
  </si>
  <si>
    <t>All the functional requirements issued by the customer and the list of functions to be released should be implemented and effective for the driver.</t>
  </si>
  <si>
    <t>The ADAS product shall implement 100% of the functional requirements issued by the customer and the list of functions, with no missing functions under any defined operational design domain (ODD).</t>
  </si>
  <si>
    <t>X = 1 - A/B
A = Number of functions missing
B = Number of functions specified</t>
  </si>
  <si>
    <t>PASS: X = 1.0 for safety-critical, regulatory, customer-committed, and release-baseline functions. MARGINAL: 0.95 ≤ X &lt; 1.0 only for explicitly deferred non-safety functions with approved customer waiver and release note. FAIL: X &lt; 0.95, or any missing safety-critical, regulatory, or committed function.</t>
  </si>
  <si>
    <t>Strict: X = 1.0 for critical coverage; no dangerous or silent failure allowed</t>
  </si>
  <si>
    <t>Implementation</t>
  </si>
  <si>
    <t>1. System Requirements Review 2. Validation Test against ADAS Feature List</t>
  </si>
  <si>
    <t>Plan how Functional completeness will be managed. Define scope, owner, standards, analysis method, verification level and expected evidence. Focus: Specified customer, regulatory, safety and release functions are fully covered.</t>
  </si>
  <si>
    <t>PASS if scope, responsible role, applicable standards, planned review method and required evidence are defined. FAIL if the attribute is missing from the quality plan.</t>
  </si>
  <si>
    <t>Project scope; customer feature list; regulatory function list; initial ODD and use-case list</t>
  </si>
  <si>
    <t>Check that Functional completeness is converted into explicit quality requirements with measurable acceptance criteria, traceability and feasibility review. Focus: Specified customer, regulatory, safety and release functions are fully covered.</t>
  </si>
  <si>
    <t>PASS if requirements are complete, feasible, measurable, traceable and reviewed with no open P0 or P1 finding. Safety critical items require 100 percent requirement coverage and explicit acceptance criteria.</t>
  </si>
  <si>
    <t>Requirements baseline; feature-to-requirement traceability matrix; scope completeness review record</t>
  </si>
  <si>
    <t>Check that architecture, detailed design, implementation and component level tests address Functional completeness. Focus: Specified customer, regulatory, safety and release functions are fully covered.</t>
  </si>
  <si>
    <t>PASS if design and implementation are complete, reviewed, traceable to requirements and component tests pass with no open blocking defect.</t>
  </si>
  <si>
    <t>Implementation traceability matrix; design review; unit/component test coverage report for implemented functions</t>
  </si>
  <si>
    <t>Check that integrated software and platform configuration preserve Functional completeness under realistic interfaces, timing, resource load and fault conditions. Focus: Specified customer, regulatory, safety and release functions are fully covered.</t>
  </si>
  <si>
    <t>PASS if integration tests confirm interface consistency, expected behavior, logs and diagnostics with no safety critical, timing, resource or integration blocker.</t>
  </si>
  <si>
    <t>System integration test report; feature integration coverage matrix; interface verification report</t>
  </si>
  <si>
    <t>Check final verification and validation evidence proves Functional completeness for the release baseline and target configuration. Focus: Specified customer, regulatory, safety and release functions are fully covered.</t>
  </si>
  <si>
    <t>PASS if final V and V evidence proves release criteria, traceability is complete, release baseline is frozen and residual risks or waivers are approved. No unresolved safety critical or release blocking issue is allowed.</t>
  </si>
  <si>
    <t>Final verification and validation report; feature acceptance matrix; release note; open issue and waiver list</t>
  </si>
  <si>
    <t>Check production and operation feedback, residual issues, field evidence and maintenance handover for Functional completeness. Focus: Specified customer, regulatory, safety and release functions are fully covered.</t>
  </si>
  <si>
    <t>PASS if operational feedback is reviewed, residual issues have owners and due dates, evidence is archived and maintenance responsibility is handed over. FAIL if any safety critical field issue remains unmanaged.</t>
  </si>
  <si>
    <t>Field feature issue summary; customer acceptance record; change request summary; lessons learned</t>
  </si>
  <si>
    <t>Requirements baseline; Feature list; ODD specification; Requirements traceability matrix; Verification or validation report</t>
  </si>
  <si>
    <t>2</t>
  </si>
  <si>
    <t>AI model</t>
  </si>
  <si>
    <t>AIM-FCp-001-G</t>
  </si>
  <si>
    <t>ODD scenario coverage of AI model</t>
  </si>
  <si>
    <t>When the AI model is evaluated against the complete ODD scenario catalogue, it shall produce valid outputs for all defined ODD sub-scenarios without undefined behaviour or silent failures; any out-of-ODD input shall trigger an OOD detection signal.</t>
  </si>
  <si>
    <t>ODD scenario coverage X ≥ 0.95; for any sub-scenario where valid output cannot be produced, an OOD signal shall be generated in 100% of cases; silent failures = 0.</t>
  </si>
  <si>
    <t>X = A/BA = Number of ODD sub-scenarios in which AI produces valid outputB = Total ODD sub-scenarios defined in ODD specification</t>
  </si>
  <si>
    <t>PASS: X ≥ 0.95 across the approved ODD scenario catalogue, OOD signal generated in 100% of unsupported or out-of-ODD cases, and silent failures = 0. MARGINAL: 0.90 ≤ X &lt; 0.95 only with documented scenario gap analysis and mitigation plan. FAIL: X &lt; 0.90, any missed OOD signal in safety-relevant scenario, or any silent failure.</t>
  </si>
  <si>
    <t>Standard: X ≥ 0.95 unless product-specific target is defined</t>
  </si>
  <si>
    <t>Project scope; customer feature list; regulatory function list; initial ODD and use-case list; AI validation strategy; dataset and model governance plan; ODD scenario catalogue plan</t>
  </si>
  <si>
    <t>Requirements baseline; feature-to-requirement traceability matrix; scope completeness review record; AI quality requirements; dataset requirement; ODD scenario catalogue; ground truth acceptance criteria</t>
  </si>
  <si>
    <t>Implementation traceability matrix; design review; unit/component test coverage report for implemented functions; Model design or training configuration; dataset baseline record; model review; component verification report</t>
  </si>
  <si>
    <t>System integration test report; feature integration coverage matrix; interface verification report; AI component integration test report; interface and tensor contract verification; SIL or HIL logs with model version</t>
  </si>
  <si>
    <t>Final verification and validation report; feature acceptance matrix; release note; open issue and waiver list; Benchmark validation report; dataset card; ground truth QA record; model release baseline; residual risk approval</t>
  </si>
  <si>
    <t>Field feature issue summary; customer acceptance record; change request summary; lessons learned; Field performance monitoring report; distribution shift review; model/data change record; incident replay evidence</t>
  </si>
  <si>
    <t>Requirements baseline; Feature list; ODD specification; Requirements traceability matrix; Verification or validation report; Dataset card; Benchmark report; Ground truth QA record; Model version record</t>
  </si>
  <si>
    <t>3</t>
  </si>
  <si>
    <t>ADAS-FCp-002-G</t>
  </si>
  <si>
    <t>Functional requirement completeness</t>
  </si>
  <si>
    <t>All customer-specified requirements, applicable regulatory mandates, and the company’s export compliance requirements shall be fully implemented and effective for end-users.</t>
  </si>
  <si>
    <t>The ADAS product shall implement 100% of  the customer-specified requirements, applicable regulatory mandates, and the company’s export compliance requirements, with no missing functions under any defined operational design domain (ODD).</t>
  </si>
  <si>
    <t>X = 1 - A/BA = Number of functional requirements not implementedB = Total number of specified functional requirements</t>
  </si>
  <si>
    <t>4</t>
  </si>
  <si>
    <t>Functional Correctness</t>
  </si>
  <si>
    <t>ADAS-FCr-001-G</t>
  </si>
  <si>
    <t>Functional correctness</t>
  </si>
  <si>
    <t>When the ADAS product processes sensor inputs (camera, radar, LiDAR) under specified environmental conditions (day/night, rain, fog), all ADAS functions shall produce correct outputs within defined accuracy thresholds.</t>
  </si>
  <si>
    <t>The ADAS product shall produce correct functional outputs (e.g., target detection accuracy ≥ 95%, lane detection accuracy ≥ 98%) as verified against ground-truth test datasets under all defined ODD conditions.</t>
  </si>
  <si>
    <t>X = 1 - A/BA = Number of incorrect functionsB = Number of functions considered</t>
  </si>
  <si>
    <t>X ≥ 0.95 for general functions; X ≥ 0.99 for safety-critical functions (AEB actuation, collision avoidance); false positive rate ≤ 1%</t>
  </si>
  <si>
    <t>V&amp;V, Operation</t>
  </si>
  <si>
    <t>1. Function-level Verification Test2. HILTest 3. Validation Test</t>
  </si>
  <si>
    <t>Plan how Functional correctness will be managed. Define scope, owner, standards, analysis method, verification level and expected evidence. Focus: Outputs are accurate in semantics, spatio-temporal relations and downstream intent.</t>
  </si>
  <si>
    <t>Quality plan; correctness KPI concept; benchmark and acceptance strategy; ground truth planning approach</t>
  </si>
  <si>
    <t>Check that Functional correctness is converted into explicit quality requirements with measurable acceptance criteria, traceability and feasibility review. Focus: Outputs are accurate in semantics, spatio-temporal relations and downstream intent.</t>
  </si>
  <si>
    <t>Functional correctness requirements; acceptance criteria; ground truth definition; test design specification</t>
  </si>
  <si>
    <t>Check that architecture, detailed design, implementation and component level tests address Functional correctness. Focus: Outputs are accurate in semantics, spatio-temporal relations and downstream intent.</t>
  </si>
  <si>
    <t>Design and implementation review; unit/component verification report; model or algorithm test results</t>
  </si>
  <si>
    <t>Check that integrated software and platform configuration preserve Functional correctness under realistic interfaces, timing, resource load and fault conditions. Focus: Outputs are accurate in semantics, spatio-temporal relations and downstream intent.</t>
  </si>
  <si>
    <t>Integrated functional test report; SIL/HIL verification logs; interface semantic correctness evidence</t>
  </si>
  <si>
    <t>Check final verification and validation evidence proves Functional correctness for the release baseline and target configuration. Focus: Outputs are accurate in semantics, spatio-temporal relations and downstream intent.</t>
  </si>
  <si>
    <t>Final validation report; benchmark result; vehicle test report; release acceptance record</t>
  </si>
  <si>
    <t>Check production and operation feedback, residual issues, field evidence and maintenance handover for Functional correctness. Focus: Outputs are accurate in semantics, spatio-temporal relations and downstream intent.</t>
  </si>
  <si>
    <t>Field defect trend; correctness-related incident analysis; regression evidence after fixes</t>
  </si>
  <si>
    <t>5</t>
  </si>
  <si>
    <t>AIM-FCr-001-G</t>
  </si>
  <si>
    <t>Object detection accuracy (mAP)</t>
  </si>
  <si>
    <t>When the AI perception model processes camera/radar/LiDAR inputs under all defined ODD conditions (day/night, rain, fog, highway/urban), it shall correctly detect and classify all specified object categories with accuracy meeting the defined minimum performance target.</t>
  </si>
  <si>
    <t>The AI model shall achieve mAP@IoU0.5 ≥ 0.85 across all object classes on the OEM benchmark dataset; for safety-critical classes (pedestrians, cyclists), precision ≥ 0.90 and recall ≥ 0.92 shall be maintained; false negative rate for pedestrians ≤ 5%.</t>
  </si>
  <si>
    <t>X = mAP@IoU0.5Evaluated on held-out benchmark dataset with ground-truth annotationsmAP = mean Average Precision across all required object classes (vehicle, pedestrian, cyclist, road sign)</t>
  </si>
  <si>
    <t>mAP@IoU0.5 ≥ 0.85: PASS; 0.75–0.84: Marginal (review required); &lt; 0.75: FAILPedestrian precision ≥ 0.90 AND recall ≥ 0.92: PASS; either &lt; 0.85: FAILFalse negative rate (pedestrian) ≤ 5%: PASS; &gt; 8%: FAIL</t>
  </si>
  <si>
    <t>Quality plan; correctness KPI concept; benchmark and acceptance strategy; ground truth planning approach; AI validation strategy; dataset and model governance plan; ODD scenario catalogue plan</t>
  </si>
  <si>
    <t>Functional correctness requirements; acceptance criteria; ground truth definition; test design specification; AI quality requirements; dataset requirement; ODD scenario catalogue; ground truth acceptance criteria</t>
  </si>
  <si>
    <t>Design and implementation review; unit/component verification report; model or algorithm test results; Model design or training configuration; dataset baseline record; model review; component verification report</t>
  </si>
  <si>
    <t>Integrated functional test report; SIL/HIL verification logs; interface semantic correctness evidence; AI component integration test report; interface and tensor contract verification; SIL or HIL logs with model version</t>
  </si>
  <si>
    <t>Final validation report; benchmark result; vehicle test report; release acceptance record; Benchmark validation report; dataset card; ground truth QA record; model release baseline; residual risk approval</t>
  </si>
  <si>
    <t>Field defect trend; correctness-related incident analysis; regression evidence after fixes; Field performance monitoring report; distribution shift review; model/data change record; incident replay evidence</t>
  </si>
  <si>
    <t>6</t>
  </si>
  <si>
    <t>AIM-FCr-002-G</t>
  </si>
  <si>
    <t>Lane detection accuracy</t>
  </si>
  <si>
    <t>When the AI lane detection model processes forward-camera images under all defined ODD conditions, it shall correctly detect lane boundaries within the lateral error tolerance required to support safe lane-keeping and lane-change assistance.</t>
  </si>
  <si>
    <t>Lane detection accuracy X ≥ 0.95 (lateral error ≤ 0.1 m at 50 m look-ahead); false positive lane detection rate ≤ 2%; performance degradation in rain/night ≤ 5 percentage points vs. nominal.</t>
  </si>
  <si>
    <t>X = A/BA = Number of lane segments detected within lateral error ≤ 0.1 mB = Total lane segments in test set</t>
  </si>
  <si>
    <t>X ≥ 0.95: PASS; 0.90–0.94: Marginal; &lt; 0.90: FAILFalse positive rate ≤ 2%: PASS; &gt; 5%: FAILRain/night degradation ≤ 5 pp: PASS; &gt; 10 pp: FAIL</t>
  </si>
  <si>
    <t>7</t>
  </si>
  <si>
    <t>ADAS-FCr-002-G</t>
  </si>
  <si>
    <t>Functional accuracy</t>
  </si>
  <si>
    <t>X = 1 - A/BA = Number of test cases that do not meet the specified thresholdB = Number of test cases evaluating the specific function</t>
  </si>
  <si>
    <t>8</t>
  </si>
  <si>
    <t>ADAS-FCr-003-G</t>
  </si>
  <si>
    <t>Functional precision</t>
  </si>
  <si>
    <t>X = 1 - A/BA = Number of test cases that do not meet the required degree of precisionB = Number of test cases evaluating the specific function</t>
  </si>
  <si>
    <t>9</t>
  </si>
  <si>
    <t>Functional Appropriateness</t>
  </si>
  <si>
    <t>ADAS-FAp-001-G</t>
  </si>
  <si>
    <t>Functional appropriateness</t>
  </si>
  <si>
    <t>When users operate the ADAS product in real driving scenarios, all implemented ADAS functions shall be traceable to and appropriate for the defined user needs and driving contexts specified in the product requirements.</t>
  </si>
  <si>
    <t>All ADAS functions shall be traceable to specific user needs or regulatory requirements; no ADAS function shall be implemented that introduces unnecessary complexity or risk without a corresponding validated user need.</t>
  </si>
  <si>
    <t>X = A/BA = Number of functions traceable to specified requirementsB = Number of functions considered</t>
  </si>
  <si>
    <t>X ≥ 0.95 (≥95% of implemented functions traceable to specified requirements); no untraced safety-critical function permitted</t>
  </si>
  <si>
    <t>1. Requirements Traceability Matrix  Review2. Design Review</t>
  </si>
  <si>
    <t>Plan how Functional appropriateness will be managed. Define scope, owner, standards, analysis method, verification level and expected evidence. Focus: Functions fit intended use, ODD, interface semantics and user or consumer needs.</t>
  </si>
  <si>
    <t>Use-case definition; intended user and consumer analysis; ODD and feature intent concept</t>
  </si>
  <si>
    <t>Check that Functional appropriateness is converted into explicit quality requirements with measurable acceptance criteria, traceability and feasibility review. Focus: Functions fit intended use, ODD, interface semantics and user or consumer needs.</t>
  </si>
  <si>
    <t>PASS if requirements are complete, feasible, measurable, traceable and reviewed with no open P0 or P1 finding.</t>
  </si>
  <si>
    <t>Use-case to requirement traceability; interface semantic specification; feature appropriateness review record</t>
  </si>
  <si>
    <t>Check that architecture, detailed design, implementation and component level tests address Functional appropriateness. Focus: Functions fit intended use, ODD, interface semantics and user or consumer needs.</t>
  </si>
  <si>
    <t>Architecture and interface design review; component test evidence for intended usage and output semantics</t>
  </si>
  <si>
    <t>Check that integrated software and platform configuration preserve Functional appropriateness under realistic interfaces, timing, resource load and fault conditions. Focus: Functions fit intended use, ODD, interface semantics and user or consumer needs.</t>
  </si>
  <si>
    <t>Integration test for consumer usage; interface contract verification; misuse and over-trust prevention evidence</t>
  </si>
  <si>
    <t>Check final verification and validation evidence proves Functional appropriateness for the release baseline and target configuration. Focus: Functions fit intended use, ODD, interface semantics and user or consumer needs.</t>
  </si>
  <si>
    <t>PASS if final V and V evidence proves release criteria, traceability is complete, release baseline is frozen and residual risks or waivers are approved.</t>
  </si>
  <si>
    <t>System validation against intended use; release limitation statement; customer or safety review approval</t>
  </si>
  <si>
    <t>Check production and operation feedback, residual issues, field evidence and maintenance handover for Functional appropriateness. Focus: Functions fit intended use, ODD, interface semantics and user or consumer needs.</t>
  </si>
  <si>
    <t>Operational feedback; misuse or inappropriate activation analysis; change request and corrective action record</t>
  </si>
  <si>
    <t>10</t>
  </si>
  <si>
    <t>Performance Efficiency</t>
  </si>
  <si>
    <t>Time Behaviour</t>
  </si>
  <si>
    <t>ADAS-PTb-001-G</t>
  </si>
  <si>
    <t>Mean system wait time</t>
  </si>
  <si>
    <t>When the ADAS system processes sensor data under nominal operating conditions (vehicle speed ≤ 130 km/h, sensor data rate at specification), all ADAS perception, decision, and actuation functions shall respond within defined real-time deadlines.</t>
  </si>
  <si>
    <t>The ADAS system shall meet the following timing requirements: 1. object detection latency ≤ 100 ms end-to-end2. AEB response time from threat detection to brake actuation ≤ 150 ms</t>
  </si>
  <si>
    <t>X = Σ(Ai)/nAi = Time between arrival of i-th request and start of processingn = Number of requests measured</t>
  </si>
  <si>
    <t>1. Mean response time X ≤ defined threshold per function; 2. AEB actuation latency ≤ 150 ms (PASS), &gt; 200 ms (FAIL); 3. 0% missed deadlines for safety-critical periodic tasks</t>
  </si>
  <si>
    <t>1. Real-Time Performance Benchmark Test (HiL/SiL); 2. On-vehicle logging with timestamp verification;3.ISO 26262 timing constraint verification</t>
  </si>
  <si>
    <t>Plan how Time behaviour will be managed. Define scope, owner, standards, analysis method, verification level and expected evidence. Focus: Response time, throughput, deadlines and high percentile latency meet targets.</t>
  </si>
  <si>
    <t>Timing verification plan; initial end-to-end timing budget; target hardware and load assumption record</t>
  </si>
  <si>
    <t>Check that Time behaviour is converted into explicit quality requirements with measurable acceptance criteria, traceability and feasibility review. Focus: Response time, throughput, deadlines and high percentile latency meet targets.</t>
  </si>
  <si>
    <t>Timing requirements; deadline and high-percentile latency criteria; timing budget allocation</t>
  </si>
  <si>
    <t>Check that architecture, detailed design, implementation and component level tests address Time behaviour. Focus: Response time, throughput, deadlines and high percentile latency meet targets.</t>
  </si>
  <si>
    <t>Component timing measurement report; WCET or profiling evidence; target build performance test result</t>
  </si>
  <si>
    <t>Check that integrated software and platform configuration preserve Time behaviour under realistic interfaces, timing, resource load and fault conditions. Focus: Response time, throughput, deadlines and high percentile latency meet targets.</t>
  </si>
  <si>
    <t>PASS if integration tests confirm interface consistency, expected behavior, logs and diagnostics with no safety critical, timing, resource or integration blocker. Measurements must be taken on target or representative platform under defined load.</t>
  </si>
  <si>
    <t>End-to-end timing test report; SIL/HIL high-load logs; missed-deadline analysis; bus and scheduler timing evidence</t>
  </si>
  <si>
    <t>Check final verification and validation evidence proves Time behaviour for the release baseline and target configuration. Focus: Response time, throughput, deadlines and high percentile latency meet targets.</t>
  </si>
  <si>
    <t>Final timing validation on release configuration; vehicle or target ECU timing report; release performance approval</t>
  </si>
  <si>
    <t>Check production and operation feedback, residual issues, field evidence and maintenance handover for Time behaviour. Focus: Response time, throughput, deadlines and high percentile latency meet targets.</t>
  </si>
  <si>
    <t>Production performance monitoring; latency anomaly report; field performance trend and corrective action record</t>
  </si>
  <si>
    <t>Timing budget; SIL/HIL performance test report; Runtime profiling log; Vehicle timestamp log</t>
  </si>
  <si>
    <t>11</t>
  </si>
  <si>
    <t>AIM-PTb-001-G</t>
  </si>
  <si>
    <t>AI model end-to-end inference latency</t>
  </si>
  <si>
    <t>When the AI model executes inference on the target ADAS SoC/NPU under peak load (all perception tasks active simultaneously), the mean end-to-end inference latency shall meet real-time requirements to support safe ADAS decision-making within the required control cycle.</t>
  </si>
  <si>
    <t>Mean AI inference latency ≤ 50 ms per frame at 20 Hz; 99th-percentile latency ≤ 80 ms; latency under thermal throttling ≤ 100 ms.</t>
  </si>
  <si>
    <t>X = Σ(Ai)/nAi = End-to-end inference time for i-th frame (sensor input → output tensor)n = Number of frames under peak load</t>
  </si>
  <si>
    <t>Mean latency ≤ 50 ms: PASS; 51–80 ms: Marginal; &gt; 80 ms: FAIL99th-percentile ≤ 80 ms: PASS; &gt; 100 ms: FAILThermal-throttled latency ≤ 100 ms: PASS; &gt; 120 ms: FAIL</t>
  </si>
  <si>
    <t>Timing verification plan; initial end-to-end timing budget; target hardware and load assumption record; AI validation strategy; dataset and model governance plan; ODD scenario catalogue plan</t>
  </si>
  <si>
    <t>Timing requirements; deadline and high-percentile latency criteria; timing budget allocation; AI quality requirements; dataset requirement; ODD scenario catalogue; ground truth acceptance criteria</t>
  </si>
  <si>
    <t>Component timing measurement report; WCET or profiling evidence; target build performance test result; Model design or training configuration; dataset baseline record; model review; component verification report</t>
  </si>
  <si>
    <t>End-to-end timing test report; SIL/HIL high-load logs; missed-deadline analysis; bus and scheduler timing evidence; AI component integration test report; interface and tensor contract verification; SIL or HIL logs with model version</t>
  </si>
  <si>
    <t>Final timing validation on release configuration; vehicle or target ECU timing report; release performance approval; Benchmark validation report; dataset card; ground truth QA record; model release baseline; residual risk approval</t>
  </si>
  <si>
    <t>Production performance monitoring; latency anomaly report; field performance trend and corrective action record; Field performance monitoring report; distribution shift review; model/data change record; incident replay evidence</t>
  </si>
  <si>
    <t>Timing budget; SIL/HIL performance test report; Runtime profiling log; Vehicle timestamp log; Dataset card; Benchmark report; Ground truth QA record; Model version record</t>
  </si>
  <si>
    <t>12</t>
  </si>
  <si>
    <t>ADAS-PTb-002-G</t>
  </si>
  <si>
    <t>Mean response time</t>
  </si>
  <si>
    <t>X = Σ(Ai)/nAi = Time taken by the product to respond to i-th requestn = Number of responses measured</t>
  </si>
  <si>
    <t>13</t>
  </si>
  <si>
    <t>ADAS-PTb-003-G</t>
  </si>
  <si>
    <t>Response time adequacy</t>
  </si>
  <si>
    <t>X = 1 - A/BA = Number of response instances not meeting specified response time requirementsB = Number of response time requirements</t>
  </si>
  <si>
    <t>14</t>
  </si>
  <si>
    <t>ADAS-PTb-004-G</t>
  </si>
  <si>
    <t>Mean turnaround time</t>
  </si>
  <si>
    <t>X = Σ(Bi - Ai)/nAi = Time of job submission for process iBi = Time of completing job/process in = Number of jobs</t>
  </si>
  <si>
    <t>15</t>
  </si>
  <si>
    <t>ADAS-PTb-005-G</t>
  </si>
  <si>
    <t>Turnaround time adequacy</t>
  </si>
  <si>
    <t>X = 1 - A/BA = Number of turnaround instances not meeting specified requirementsB = Number of turnaround time measured</t>
  </si>
  <si>
    <t>16</t>
  </si>
  <si>
    <t>ADAS-PTb-006-G</t>
  </si>
  <si>
    <t>Mean throughput</t>
  </si>
  <si>
    <t>X = Σ(Ai/Bi)/nAi = Number of jobs completed during i-th observation timeBi = Length of observation period in = Number of observations</t>
  </si>
  <si>
    <t>17</t>
  </si>
  <si>
    <t>ADAS-PTb-007-G</t>
  </si>
  <si>
    <t>Throughput adequacy</t>
  </si>
  <si>
    <t>X = 1 - A/BA = Number of throughputs not meeting requirementsB = Number of throughput requirements</t>
  </si>
  <si>
    <t>18</t>
  </si>
  <si>
    <t>Resource Utilization</t>
  </si>
  <si>
    <t>ADAS-PRu-001-G</t>
  </si>
  <si>
    <t>Peak processor utilization</t>
  </si>
  <si>
    <t>When the ADAS ECU executes all active ADAS functions simultaneously under peak load conditions (all functions active), CPU, memory, bandwidth, and energy resources shall remain within specified budgets.</t>
  </si>
  <si>
    <t>1. Peak CPU utilization shall not exceed 70% on any core;2. Mean RAM utilization shall not exceed 80% of available memory; 3. CAN/Ethernet bandwidth utilization shall not exceed 60% of nominal capacity;</t>
  </si>
  <si>
    <t>X = Max(A1, A2, ..., An)Ai = Maximum processor utilization rate during execution of specific product function in = Number of observations</t>
  </si>
  <si>
    <t>1. Peak CPU ≤ 70% (PASS), &gt; 85% (FAIL);2. Peak RAM ≤ 80% (PASS), &gt; 90% (FAIL); 3.CAN/Ethernet bandwidth ≤ 60% nominal.</t>
  </si>
  <si>
    <t>1. Runtime test under peak load scenario (HiL); 2. CAN/Ethernet bus load monitoring</t>
  </si>
  <si>
    <t>Plan how Resource utilization will be managed. Define scope, owner, standards, analysis method, verification level and expected evidence. Focus: CPU, RAM, accelerator, bus load, storage and energy remain within budgets.</t>
  </si>
  <si>
    <t>Resource budget plan; target ECU or SoC resource assumption; profiling strategy</t>
  </si>
  <si>
    <t>Check that Resource utilization is converted into explicit quality requirements with measurable acceptance criteria, traceability and feasibility review. Focus: CPU, RAM, accelerator, bus load, storage and energy remain within budgets.</t>
  </si>
  <si>
    <t>CPU, memory, accelerator, bus, storage and energy budget requirements; resource margin criteria</t>
  </si>
  <si>
    <t>Check that architecture, detailed design, implementation and component level tests address Resource utilization. Focus: CPU, RAM, accelerator, bus load, storage and energy remain within budgets.</t>
  </si>
  <si>
    <t>Component profiling report; memory footprint analysis; static resource analysis; implementation review</t>
  </si>
  <si>
    <t>Check that integrated software and platform configuration preserve Resource utilization under realistic interfaces, timing, resource load and fault conditions. Focus: CPU, RAM, accelerator, bus load, storage and energy remain within budgets.</t>
  </si>
  <si>
    <t>Integrated resource profiling report; bus load report; peak-load HIL/SIL logs; thermal throttling evidence if applicable</t>
  </si>
  <si>
    <t>Check final verification and validation evidence proves Resource utilization for the release baseline and target configuration. Focus: CPU, RAM, accelerator, bus load, storage and energy remain within budgets.</t>
  </si>
  <si>
    <t>Final release resource report; target hardware stress result; resource margin approval</t>
  </si>
  <si>
    <t>Check production and operation feedback, residual issues, field evidence and maintenance handover for Resource utilization. Focus: CPU, RAM, accelerator, bus load, storage and energy remain within budgets.</t>
  </si>
  <si>
    <t>Field resource monitoring; overload incident analysis; production configuration drift review</t>
  </si>
  <si>
    <t>19</t>
  </si>
  <si>
    <t>AIM-PRu-001-G</t>
  </si>
  <si>
    <t>AI model NPU/GPU utilization</t>
  </si>
  <si>
    <t>When the AI model executes inference on the target ADAS NPU/GPU under nominal conditions, the neural processing unit utilization shall remain within the allocated resource budget, leaving headroom for other ADAS computation tasks and thermal safety margins.</t>
  </si>
  <si>
    <t>Mean NPU/GPU utilization ≤ 70% of total capacity under nominal load; peak utilization ≤ 85%; AI model memory footprint (weights + activations) ≤ 80% of allocated memory budget.</t>
  </si>
  <si>
    <t>X = Σ(Ai)/nAi = NPU/GPU utilization rate (%) during i-th inference observationn = Number of observations under nominal load</t>
  </si>
  <si>
    <t>Mean NPU utilization ≤ 70%: PASS; &gt; 85%: FAILPeak NPU utilization ≤ 85%: PASS; &gt; 95%: FAILMemory footprint ≤ 80% of budget: PASS; &gt; 90%: FAIL</t>
  </si>
  <si>
    <t>Resource budget plan; target ECU or SoC resource assumption; profiling strategy; AI validation strategy; dataset and model governance plan; ODD scenario catalogue plan</t>
  </si>
  <si>
    <t>CPU, memory, accelerator, bus, storage and energy budget requirements; resource margin criteria; AI quality requirements; dataset requirement; ODD scenario catalogue; ground truth acceptance criteria</t>
  </si>
  <si>
    <t>Component profiling report; memory footprint analysis; static resource analysis; implementation review; Model design or training configuration; dataset baseline record; model review; component verification report</t>
  </si>
  <si>
    <t>Integrated resource profiling report; bus load report; peak-load HIL/SIL logs; thermal throttling evidence if applicable; AI component integration test report; interface and tensor contract verification; SIL or HIL logs with model version</t>
  </si>
  <si>
    <t>Final release resource report; target hardware stress result; resource margin approval; Benchmark validation report; dataset card; ground truth QA record; model release baseline; residual risk approval</t>
  </si>
  <si>
    <t>Field resource monitoring; overload incident analysis; production configuration drift review; Field performance monitoring report; distribution shift review; model/data change record; incident replay evidence</t>
  </si>
  <si>
    <t>20</t>
  </si>
  <si>
    <t>ADAS-PRu-002-G</t>
  </si>
  <si>
    <t>Mean processor utilization</t>
  </si>
  <si>
    <t>X = Σ(Ai)/nAi = Percentage of time a core/processor is occupied in i-th observationn = Number of observations</t>
  </si>
  <si>
    <t>1. Resource Profiling under peak load scenario (HiL); 2. Static analysis of worst-case memory footprint; ECU thermal validation test; 3. CAN/Ethernet bus load monitoring</t>
  </si>
  <si>
    <t>21</t>
  </si>
  <si>
    <t>ADAS-PRu-003-G</t>
  </si>
  <si>
    <t>Peak memory utilization</t>
  </si>
  <si>
    <t>X = Max(A1, A2, ..., An)Ai = Maximum memory used to execute product functions in i-th observationn = Number of observations</t>
  </si>
  <si>
    <t>22</t>
  </si>
  <si>
    <t>ADAS-PRu-004-G</t>
  </si>
  <si>
    <t>Mean memory utilization</t>
  </si>
  <si>
    <t>X = Σ(Ai)/nAi = Size of memory used in i-th observationn = Number of observations</t>
  </si>
  <si>
    <t>23</t>
  </si>
  <si>
    <t>ADAS-PRu-005-G</t>
  </si>
  <si>
    <t>Mean wait time</t>
  </si>
  <si>
    <t>X = Σ(Ai)/nAi = Time between arrival and start of processing in i-th observationn = Number of requests</t>
  </si>
  <si>
    <t>24</t>
  </si>
  <si>
    <t>ADAS-PRu-006-G</t>
  </si>
  <si>
    <t>Peak I/O devices utilization</t>
  </si>
  <si>
    <t>X = Max(A1/T1, A2/T2, ..., An/Tn)Ai = Busy time of I/O device in i-th observationTi = Total observation time in i-th observationn = Number of observations</t>
  </si>
  <si>
    <t>25</t>
  </si>
  <si>
    <t>ADAS-PRu-007-G</t>
  </si>
  <si>
    <t>Mean I/O devices utilization</t>
  </si>
  <si>
    <t>X = Σ(Ai)/nAi = Utilization rate of I/O devices during i-th intervaln = Number of observations</t>
  </si>
  <si>
    <t>26</t>
  </si>
  <si>
    <t>ADAS-PRu-008-G</t>
  </si>
  <si>
    <t>Peak bandwidth utilization</t>
  </si>
  <si>
    <t>X = Max(A1, A2, ..., An)Ai = Maximum bandwidth during execution in i-th observationn = Number of observations</t>
  </si>
  <si>
    <t>27</t>
  </si>
  <si>
    <t>ADAS-PRu-009-G</t>
  </si>
  <si>
    <t>Mean bandwidth utilization</t>
  </si>
  <si>
    <t>X = Σ(Ai)/nAi = Bandwidth used in i-th observationn = Number of observations</t>
  </si>
  <si>
    <t>28</t>
  </si>
  <si>
    <t>ADAS-PRu-010-G</t>
  </si>
  <si>
    <t>Peak energy consumption utilization</t>
  </si>
  <si>
    <t>X = Max(A1, A2, ..., An)Ai = Maximum energy utilization consumed in i-th observationn = Number of observations</t>
  </si>
  <si>
    <t>29</t>
  </si>
  <si>
    <t>ADAS-PRu-011-G</t>
  </si>
  <si>
    <t>Mean energy consumption utilization</t>
  </si>
  <si>
    <t>X = Σ(Ai)/nAi = Energy consumption in i-th observationn = Number of observations</t>
  </si>
  <si>
    <t>30</t>
  </si>
  <si>
    <t>ADAS-PRu-012-G</t>
  </si>
  <si>
    <t>Resource utilization adequacy</t>
  </si>
  <si>
    <t>X = 1 - A/BA = Number of resource utilizations not meeting requirementsB = Number of resource utilization requirements</t>
  </si>
  <si>
    <t>31</t>
  </si>
  <si>
    <t>Capacity</t>
  </si>
  <si>
    <t>ADAS-PCa-001-G</t>
  </si>
  <si>
    <t>Maximum capacity used</t>
  </si>
  <si>
    <t>When the ADAS system operates in complex traffic environments and under adverse weather conditions, all system capacities shall remain within specified limits without degradation.</t>
  </si>
  <si>
    <t>The ADAS system shall maintain full functional performance when the ADAS system operates in complex traffic environments and under adverse weather conditions.</t>
  </si>
  <si>
    <t>X = Max(A1, A2, ..., An)Ai = Maximum transactions completed during observation time in i-th observationn = Number of observations</t>
  </si>
  <si>
    <t>1. System operates at 100% of defined capacity without functional degradation (PASS); system fails or degrades at &lt; 80% of specified capacity (FAIL); 2. Maximum capacity utilization ≤ 90% under peak ODD conditions</t>
  </si>
  <si>
    <t>1. Capacity Stress Test (HiL with maximum sensor injection);\2. Multi-object tracking stress test; System overload boundary test; 3. ODD boundary condition validation</t>
  </si>
  <si>
    <t>Plan how Capacity will be managed. Define scope, owner, standards, analysis method, verification level and expected evidence. Focus: Maximum scenario complexity, object count, data rate and concurrency meet requirements.</t>
  </si>
  <si>
    <t>Capacity concept; maximum scenario complexity assumption; overload and degradation strategy</t>
  </si>
  <si>
    <t>Check that Capacity is converted into explicit quality requirements with measurable acceptance criteria, traceability and feasibility review. Focus: Maximum scenario complexity, object count, data rate and concurrency meet requirements.</t>
  </si>
  <si>
    <t>Capacity requirements; maximum object, scenario, data stream and concurrent function limits; overload policy</t>
  </si>
  <si>
    <t>Check that architecture, detailed design, implementation and component level tests address Capacity. Focus: Maximum scenario complexity, object count, data rate and concurrency meet requirements.</t>
  </si>
  <si>
    <t>Capacity design review; component stress test; overload handling component test report</t>
  </si>
  <si>
    <t>Check that integrated software and platform configuration preserve Capacity under realistic interfaces, timing, resource load and fault conditions. Focus: Maximum scenario complexity, object count, data rate and concurrency meet requirements.</t>
  </si>
  <si>
    <t>Integrated capacity stress test; multi-object or high-load scenario logs; drop-policy verification</t>
  </si>
  <si>
    <t>Check final verification and validation evidence proves Capacity for the release baseline and target configuration. Focus: Maximum scenario complexity, object count, data rate and concurrency meet requirements.</t>
  </si>
  <si>
    <t>Final capacity validation; ODD boundary stress test; release limitation and capacity approval</t>
  </si>
  <si>
    <t>Check production and operation feedback, residual issues, field evidence and maintenance handover for Capacity. Focus: Maximum scenario complexity, object count, data rate and concurrency meet requirements.</t>
  </si>
  <si>
    <t>Field capacity issue summary; overload event trend; operational limit update record</t>
  </si>
  <si>
    <t>32</t>
  </si>
  <si>
    <t>ADAS-PCa-002-G</t>
  </si>
  <si>
    <t>Maximum user access capability used</t>
  </si>
  <si>
    <t>X = Max(A1, A2, ..., An)Ai = Maximum users simultaneously accessing product in i-th observationn = Number of observations</t>
  </si>
  <si>
    <t>33</t>
  </si>
  <si>
    <t>ADAS-PCa-003-G</t>
  </si>
  <si>
    <t>User access adequacy</t>
  </si>
  <si>
    <t>X = A/BA = Number of user accesses the product can accommodateB = Number of targeted user accesses the product should accommodate</t>
  </si>
  <si>
    <t>34</t>
  </si>
  <si>
    <t>ADAS-PCa-004-G</t>
  </si>
  <si>
    <t>Capacity adequacy</t>
  </si>
  <si>
    <t>X = 1 - A/BA = Number of capacities not meeting capacity requirementsB = Number of capacity requirements</t>
  </si>
  <si>
    <t>35</t>
  </si>
  <si>
    <t>Compatibility</t>
  </si>
  <si>
    <t>Co-existence</t>
  </si>
  <si>
    <t>P2</t>
  </si>
  <si>
    <t>ADAS-CCo-001-G</t>
  </si>
  <si>
    <t>Co-existence with other products</t>
  </si>
  <si>
    <t>When the ADAS product operates alongside other vehicle systems (infotainment, telematics, body control), it shall not negatively affect the quality, timing, or safety of those co-existing systems.</t>
  </si>
  <si>
    <t>The ADAS product shall co-exist with all required in-vehicle systems without causing degradation of more than 5% in the performance metrics of any co-existing system, as verified during integrated vehicle testing.</t>
  </si>
  <si>
    <t>X = A/BA = Number of other products with which this product can interact without negatively affecting their qualityB = Number of other products required to co-exist</t>
  </si>
  <si>
    <t>1. X ≥ 0.95 (≥95% of co-existing systems unaffected); no safety-critical system interference permitted</t>
  </si>
  <si>
    <t>1. System Integration Test on target vehicle; 2. CAN/Ethernet bus load monitoring during co-existence.</t>
  </si>
  <si>
    <t>N/A for current phase</t>
  </si>
  <si>
    <t>Deferred in current product quality scope; evidence shall be defined when this quality attribute is activated.</t>
  </si>
  <si>
    <t>Interface control document; Integration test report; Protocol conformance report; Network log</t>
  </si>
  <si>
    <t>36</t>
  </si>
  <si>
    <t>Interoperability</t>
  </si>
  <si>
    <t>ADAS-CIn-001-G</t>
  </si>
  <si>
    <t>Data formats exchangeability</t>
  </si>
  <si>
    <t>When the ADAS product exchanges data with external systems (V2X, cloud backend, OEM backend, fleet management), all data formats and communication protocols shall conform to specified interface standards and enable correct data interpretation.</t>
  </si>
  <si>
    <t>The ADAS product shall support 100% of the data exchange formats and communication protocols specified in the Interface Control Document (ICD), including AUTOSAR, SOME/IP, DDS, and OTA update protocols.</t>
  </si>
  <si>
    <t>X = A/BA = Number of data formats exchangeable with other productsB = Number of data formats specified to be exchangeable</t>
  </si>
  <si>
    <t>PASS: X = 1.0 for all mandatory ICD-defined data formats, protocols, and external interfaces; 100% protocol conformance for AUTOSAR, SOME/IP, DDS, OTA, and safety-relevant interfaces. MARGINAL: X ≥ 0.95 only for non-mandatory or optional interfaces with approved deviation. FAIL: any missing mandatory, safety-relevant, regulatory, or customer-committed interface.</t>
  </si>
  <si>
    <t>Strict: X = 1.0 for mandatory or regulatory items</t>
  </si>
  <si>
    <t>1. ICD Review and Verification; 2. Interface test;3. V2X interoperability test with roadside units;3. OTA update protocol validation;.</t>
  </si>
  <si>
    <t>37</t>
  </si>
  <si>
    <t>ADAS-CIn-002-G</t>
  </si>
  <si>
    <t>Data exchange protocol sufficiency</t>
  </si>
  <si>
    <t>X = A/BA = Number of data exchange protocols supportedB = Number of data exchange protocols specified to be supported</t>
  </si>
  <si>
    <t>38</t>
  </si>
  <si>
    <t>ADAS-CIn-003-G</t>
  </si>
  <si>
    <t>External interface completeness</t>
  </si>
  <si>
    <t>X = A/BA = Number of external interfaces implementedB = Number of external interfaces specified</t>
  </si>
  <si>
    <t>39</t>
  </si>
  <si>
    <t>Interaction Capability</t>
  </si>
  <si>
    <t>Appropriateness Recognizability</t>
  </si>
  <si>
    <t>HMI-IAr-001-G</t>
  </si>
  <si>
    <t>Description completeness</t>
  </si>
  <si>
    <t>The system's HMI shall provide sufficient descriptions, demonstrations to allow the driver to correctly identify whether the system is appropriate for their driving scenario without external assistance.</t>
  </si>
  <si>
    <t>The HMI shall provide clear usage scenario descriptions for all ADAS functions; drivers shall be able to correctly identify the appropriate ADAS function for a given scenario with ≥ 90% accuracy without reference to the user manual.</t>
  </si>
  <si>
    <t>X = A/BA = Number of usage scenarios described explicitlyB = Number of usage scenarios of the product</t>
  </si>
  <si>
    <t>1. X ≥ 0.90 (≥90% of usage scenarios clearly described); 2. Driver correct-identification rate ≥ 90% in usability study; 3. Demonstration coverage ≥ 80% of key ADAS tasks</t>
  </si>
  <si>
    <t>Implementation, V&amp;V</t>
  </si>
  <si>
    <t>1. HMI Usability Study with representative drivers (min. 30 participants); 2. Task scenario comprehension test; 3. HMI Design Review;</t>
  </si>
  <si>
    <t>HMI specification; Usability test report; Driver study record; HMI review checklist</t>
  </si>
  <si>
    <t>40</t>
  </si>
  <si>
    <t>HMI-IAr-002-G</t>
  </si>
  <si>
    <t>Demonstration coverage</t>
  </si>
  <si>
    <t>X = A/BA = Number of tasks with demonstration featuresB = Number of tasks that could benefit from demonstration features</t>
  </si>
  <si>
    <t>41</t>
  </si>
  <si>
    <t>Learnability</t>
  </si>
  <si>
    <t>HMI-ILe-001-G</t>
  </si>
  <si>
    <t>User guidance completeness</t>
  </si>
  <si>
    <t>When a driver uses the ADAS product for the first time without prior training, they shall be able to learn basic ADAS function operation within a defined time, supported by HMI and complete user guidance.</t>
  </si>
  <si>
    <t>1. The HMI shall enable a new driver to correctly operate all primary ADAS functions within 15 minutes without reading the owner's manual; 2.All HMI functions shall be documented in the user guide with ≥ 95% completeness.</t>
  </si>
  <si>
    <t>X = A/BA = Number of functions described in user documentation/help facility as requiredB = Number of functions implemented that are required to be documented</t>
  </si>
  <si>
    <t>1. New user task completion rate ≥ 90% within 15 minutes on first use (PASS); 2. User guidance completeness X ≥ 0.95;</t>
  </si>
  <si>
    <t>1. First-time driver usability test (novice driver study); 2. User documentation completeness audit;</t>
  </si>
  <si>
    <t>42</t>
  </si>
  <si>
    <t>HMI-ILe-002-G</t>
  </si>
  <si>
    <t>Entry fields default</t>
  </si>
  <si>
    <t>X = A/BA = Number of entry fields with default values automatically filled inB = Number of entry fields that could have default values</t>
  </si>
  <si>
    <t>43</t>
  </si>
  <si>
    <t>HMI-ILe-003-G</t>
  </si>
  <si>
    <t>Self-explanatory user interface</t>
  </si>
  <si>
    <t>The ADAS HMI shall enable a new driver to correctly operate all primary ADAS functions within 15 minutes without reading the owner's manual; all HMI functions shall be documented in the user guide with ≥ 95% completeness.</t>
  </si>
  <si>
    <t>X = (1/n) Σ(Ai/Bi)Ai = Number of UIs for task i that can be understood without trainingBi = Number of UIs used for task in = Total number of tasks</t>
  </si>
  <si>
    <t>44</t>
  </si>
  <si>
    <t>Operability</t>
  </si>
  <si>
    <t>HMI-IOp-001-G</t>
  </si>
  <si>
    <t>Operational consistency</t>
  </si>
  <si>
    <t>When a driver operates the ADAS product during normal driving (hands on wheel, eyes on road), all HMI controls and displays shall be consistent, understandable, and controllable.</t>
  </si>
  <si>
    <t>1. The HMI shall achieve operational consistency across all ADAS functions; 2. All system messages shall be clear and actionable;</t>
  </si>
  <si>
    <t>X = 1 - A/BA = Number of interactive tasks with interfaces exhibiting inconsistenciesB = Total number of interactive tasks in the product</t>
  </si>
  <si>
    <t>1. Operational consistency X ≥ 0.95; 2. Message clarity X ≥ 0.90; mean eye-off-road time ≤ 2 sec per HMI interaction.</t>
  </si>
  <si>
    <t>1. Driver distraction test (occlusion study / eye tracking); 2. HMI consistency audit; 3. On-road usability evaluation.</t>
  </si>
  <si>
    <t>45</t>
  </si>
  <si>
    <t>HMI-IOp-002-G</t>
  </si>
  <si>
    <t>Message clarity</t>
  </si>
  <si>
    <t>X = A/BA = Number of messages conveying the right outcome or instructionsB = Number of messages implemented</t>
  </si>
  <si>
    <t>46</t>
  </si>
  <si>
    <t>HMI-IOp-001-S</t>
  </si>
  <si>
    <t>Functional customizability</t>
  </si>
  <si>
    <t>The ADAS HMI shall allow user customization only for functions where customization improves usability, and shall prevent customization from disabling, hiding, or weakening safety-critical warnings, mandatory alerts, or legally required information.</t>
  </si>
  <si>
    <t>X = A/BA = Number of functions and procedures that can be customizedB = Number of functions and procedures for which customization could benefit users</t>
  </si>
  <si>
    <t>PASS: X ≥ 0.80 for functions where customization benefits the driver, and no safety-critical behavior can be customized outside approved safety limits. MARGINAL: 0.60 ≤ X &lt; 0.80 with justified usability rationale. FAIL: X &lt; 0.60 or any customization option that can mask, disable, or weaken required safety behavior.</t>
  </si>
  <si>
    <t>Driver distraction test (occlusion study / eye tracking); HMI consistency audit; On-road usability evaluation; JAMA Guideline for In-Vehicle Visual Information compliance review</t>
  </si>
  <si>
    <t>47</t>
  </si>
  <si>
    <t>HMI-IOp-002-S</t>
  </si>
  <si>
    <t>User interface customizability</t>
  </si>
  <si>
    <t>The ADAS HMI shall allow users to configure approved interface elements such as display preferences, alert modality, or information layout where this improves usability, while maintaining consistent presentation of safety-critical information across all operating modes.</t>
  </si>
  <si>
    <t>X = A/BA = Number of UI elements that can be customized by usersB = Number of UI elements</t>
  </si>
  <si>
    <t>PASS: X ≥ 0.70 for user-configurable UI elements that can improve usability without hiding mandatory warnings or status information. MARGINAL: 0.50 ≤ X &lt; 0.70 with approved HMI rationale. FAIL: X &lt; 0.50 or any customization that reduces visibility, understandability, or timeliness of safety-relevant HMI information.</t>
  </si>
  <si>
    <t>48</t>
  </si>
  <si>
    <t>HMI-IOp-003-S</t>
  </si>
  <si>
    <t>Monitoring capability</t>
  </si>
  <si>
    <t>The ADAS product shall provide state monitoring information for all safety-relevant and primary ADAS functions, including activation status, availability, degradation, fault state, and required driver action.</t>
  </si>
  <si>
    <t>X = A/BA = Number of functions having state monitoring capabilityB = Number of functions that could benefit from monitoring capability</t>
  </si>
  <si>
    <t>PASS: X ≥ 0.95 for safety-relevant functions and X ≥ 0.80 for non-safety functions that benefit from state monitoring. MARGINAL: monitoring gap exists only for non-safety convenience functions with documented rationale. FAIL: any safety-relevant function lacks required state monitoring or diagnostic visibility.</t>
  </si>
  <si>
    <t>49</t>
  </si>
  <si>
    <t>HMI-IOp-004-S</t>
  </si>
  <si>
    <t>Undo capability</t>
  </si>
  <si>
    <t>The ADAS HMI shall provide undo, cancellation, or re-confirmation mechanisms for user actions where unintended operation may affect comfort, configuration, or system behavior, and shall require confirmation for safety-relevant mode changes.</t>
  </si>
  <si>
    <t>X = A/BA = Number of tasks that provide undo capability or prompt for re-confirmationB = Number of tasks for which undo/re-confirmation could benefit users</t>
  </si>
  <si>
    <t>PASS: X ≥ 0.90 for user tasks where undo or re-confirmation is beneficial; 100% of safety-relevant irreversible actions require confirmation or protection. MARGINAL: 0.75 ≤ X &lt; 0.90 for non-safety tasks with accepted usability rationale. FAIL: any hazardous user action can be executed without protection, confirmation, or safe recovery.</t>
  </si>
  <si>
    <t>50</t>
  </si>
  <si>
    <t>HMI-IOp-005-S</t>
  </si>
  <si>
    <t>Understandable categorization of information</t>
  </si>
  <si>
    <t>The ADAS HMI shall organize information using categories and structures that are understandable to intended drivers, with safety-critical warnings, system states, and required actions clearly distinguishable from advisory or comfort information.</t>
  </si>
  <si>
    <t>X = A/BA = Number of information structures familiar and convenient for intended usersB = Number of information structures used</t>
  </si>
  <si>
    <t>PASS: X ≥ 0.90 and no critical information structure is misleading for intended drivers. MARGINAL: 0.80 ≤ X &lt; 0.90 with HMI improvement action defined. FAIL: X &lt; 0.80 or any information categorization that can cause wrong ADAS mode understanding or unsafe driver decision.</t>
  </si>
  <si>
    <t>51</t>
  </si>
  <si>
    <t>HMI-IOp-006-S</t>
  </si>
  <si>
    <t>Appearance consistency</t>
  </si>
  <si>
    <t>The ADAS HMI shall maintain consistent appearance for similar interface items, messages, icons, and alerts across all ADAS functions, with no inconsistent representation of safety warnings or driver takeover requests.</t>
  </si>
  <si>
    <t>X = 1 - A/BA = Number of UIs with similar items but different appearancesB = Number of UIs with similar items</t>
  </si>
  <si>
    <t>PASS: X ≥ 0.95 for similar HMI items, with 0 inconsistency for safety warnings, ADAS mode states, and driver takeover prompts. MARGINAL: 0.90 ≤ X &lt; 0.95 for non-safety UI items only. FAIL: X &lt; 0.90 or any inconsistent appearance affecting safety-relevant interpretation.</t>
  </si>
  <si>
    <t>52</t>
  </si>
  <si>
    <t>HMI-IOp-007-S</t>
  </si>
  <si>
    <t>Input device support</t>
  </si>
  <si>
    <t>The ADAS product shall support the input modalities specified for each intended user task, ensuring that primary ADAS tasks can be initiated, adjusted, or cancelled through appropriate and validated input devices.</t>
  </si>
  <si>
    <t>X = A/BA = Number of tasks that can be initiated by all appropriate input modalitiesB = Number of tasks supported by the system</t>
  </si>
  <si>
    <t>PASS: X ≥ 0.90 for supported user tasks and all primary ADAS tasks support the required input modalities defined in the HMI specification. MARGINAL: 0.80 ≤ X &lt; 0.90 for non-primary tasks with accepted rationale. FAIL: any primary or safety-relevant task cannot be initiated, confirmed, or cancelled using the required input modality.</t>
  </si>
  <si>
    <t>53</t>
  </si>
  <si>
    <t>User Error Protection</t>
  </si>
  <si>
    <t>HMI-IEp-001-G</t>
  </si>
  <si>
    <t>Avoidance of use error</t>
  </si>
  <si>
    <t>When a driver makes incorrect operation to the ADAS system, the system shall validate inputs, prevent hazardous operations, and provide clear corrective guidance.</t>
  </si>
  <si>
    <t>The ADAS system shall validate 100% of safety-critical driver inputs; all error messages shall state the cause and provide corrective instructions; the system shall prevent ADAS activation outside the ODD and provide a clear reason to the driver.</t>
  </si>
  <si>
    <t>X = A/BA = Number of actions and inputs validated to avoid operation errorsB = Number of user actions and inputs specified to be validated</t>
  </si>
  <si>
    <t>1. Input validation coverage X = 1.0 for safety-critical inputs; 2. Error message resolvability X ≥ 0.90; 3. System prevents ODD boundary violations: PASS; driver error recovery rate ≥ 90%</t>
  </si>
  <si>
    <t>1.Boundary input test (invalid speed, ODD violation attempts); 2. Error message review; 3. Driver error recovery usability test.</t>
  </si>
  <si>
    <t>54</t>
  </si>
  <si>
    <t>HMI-IEp-002-G</t>
  </si>
  <si>
    <t>Error message resolvability</t>
  </si>
  <si>
    <t>X = A/BA = Number of error messages stating reason and suggesting resolutionB = Number of error messages implemented</t>
  </si>
  <si>
    <t>55</t>
  </si>
  <si>
    <t>HMI-IEp-003-G</t>
  </si>
  <si>
    <t>User entry error correction</t>
  </si>
  <si>
    <t>X = A/BA = Number of user entry errors the product corrects or suggests corrections forB = Number of entry errors detected</t>
  </si>
  <si>
    <t>56</t>
  </si>
  <si>
    <t>HMI-IEp-004-G</t>
  </si>
  <si>
    <t>User error recoverability</t>
  </si>
  <si>
    <t>X = A/BA = Number of user operation errors corrected by product to resume nominal operationB = Number of user operation errors made during operation</t>
  </si>
  <si>
    <t>57</t>
  </si>
  <si>
    <t>User Engagement</t>
  </si>
  <si>
    <t>HMI-IUe-001-G</t>
  </si>
  <si>
    <t>Engaging user interfaces</t>
  </si>
  <si>
    <t>When the ADAS product provides feedback and status information to the driver, the HMI shall engage the driver appropriately to maintain situational awareness without causing over-reliance on automation or driver disengagement.</t>
  </si>
  <si>
    <t>1. The HMI shall provide engaging and informative feedback for all active ADAS functions; 2. HMI engagement score shall meet or exceed the Customer-defined target score in user studies, while avoiding automation complacency.</t>
  </si>
  <si>
    <t>X = A/BA = Number of interfaces that motivate user engagementB = Number of interfaces required to motivate user engagement</t>
  </si>
  <si>
    <t>1. Engaging UI coverage X ≥ 0.90 ; 2.No observed automation complacency incidents in naturalistic driving study</t>
  </si>
  <si>
    <t>1. User engagement questionnaire review;2. HMI engagement design review</t>
  </si>
  <si>
    <t>58</t>
  </si>
  <si>
    <t>Inclusivity</t>
  </si>
  <si>
    <t>HMI-IIn-001-G</t>
  </si>
  <si>
    <t>Language inclusivity for the widest range of users</t>
  </si>
  <si>
    <t>When drivers from diverse linguistic, cultural, and demographic backgrounds operate the ADAS product in target markets, all ADAS HMI functions shall be usable and understandable regardless of language or cultural background.</t>
  </si>
  <si>
    <t>1. The HMI shall support all languages and regional variants specified for target markets; 2. All ADAS functions shall be usable by drivers from all specified cultural groups without language-related functional barriers.</t>
  </si>
  <si>
    <t>X = A/BA = Number of functions successfully usable by users from specified language backgroundsB = Number of functions implemented</t>
  </si>
  <si>
    <t>1. Language inclusivity X ≥ 0.95 for all specified languages; 2. Culture inclusivity X ≥ 0.95 for all specified cultural groups; 3. 0 critical localization defects in HMI review</t>
  </si>
  <si>
    <t>1. Localization verification test (per target market language); 2. Cultural appropriateness review by regional experts; 3. Native speaker HMI usability evaluation per target market</t>
  </si>
  <si>
    <t>59</t>
  </si>
  <si>
    <t>HMI-IIn-002-G</t>
  </si>
  <si>
    <t>Culture inclusivity for the widest range of users</t>
  </si>
  <si>
    <t>X = A/BA = Number of functions successfully usable by users from specified cultural groupsB = Number of functions implemented</t>
  </si>
  <si>
    <t>60</t>
  </si>
  <si>
    <t>User Assistance</t>
  </si>
  <si>
    <t>HMI-IUa-001-G</t>
  </si>
  <si>
    <t>Assistance for users with disabilities and diverse users</t>
  </si>
  <si>
    <t>When drivers with disabilities or special needs operate the ADAS product, the system shall provide appropriate assistive features to ensure equal access to all ADAS functions required for safe vehicle operation.</t>
  </si>
  <si>
    <t>The HMI shall support assistive technology for all primary ADAS functions, enabling users with visual or motor impairments to access at least 80% of HMI functions.</t>
  </si>
  <si>
    <t>X = A/BA = Number of functions successfully used by users with specific disabilities with assistive technologyB = Number of functions implemented</t>
  </si>
  <si>
    <t>1. Assistive technology coverage X ≥ 0.80 for users with disabilities; 2. Voice control success rate ≥ 85% for primary ADAS commands.</t>
  </si>
  <si>
    <t>1. Accessibility usability test with participants with disabilities2. Voice control recognition accuracy test3. Display contrast ratio measurement.</t>
  </si>
  <si>
    <t>61</t>
  </si>
  <si>
    <t>HMI-IUa-002-G</t>
  </si>
  <si>
    <t>Assistance and support for users who require any support for use of system or products</t>
  </si>
  <si>
    <t>X = A/BA = Number of functions users successfully use with assistive technologyB = Number of functions implemented</t>
  </si>
  <si>
    <t>62</t>
  </si>
  <si>
    <t>Self-descriptiveness</t>
  </si>
  <si>
    <t>HMI-ISd-001-G</t>
  </si>
  <si>
    <t>Presentation of understandable information for user tasks</t>
  </si>
  <si>
    <t>When a driver needs to understand the current state, capability, or limitation of an ADAS function, the HMI shall provide sufficient and understandable in-context information without requiring external documentation.</t>
  </si>
  <si>
    <t>The ADAS HMI shall display understandable status and instructional information for all primary ADAS tasks; drivers shall be able to determine current system state and next required action from the HMI alone with ≥ 90% accuracy.</t>
  </si>
  <si>
    <t>X = A/BA = Number of user tasks with understandable information for performing the tasksB = Number of user tasks</t>
  </si>
  <si>
    <t>1. Self-descriptive UI coverage X ≥ 0.90; 2. Driver state-identification accuracy ≥ 90% in usability test without manual reference; 3. 0 critical ambiguity defects in HMI review</t>
  </si>
  <si>
    <t>1. Context-understanding usability test (without manual); 2. HMI information architecture review.</t>
  </si>
  <si>
    <t>63</t>
  </si>
  <si>
    <t>Reliability</t>
  </si>
  <si>
    <t>Faultlessness</t>
  </si>
  <si>
    <t>ADAS-RFa-001-G</t>
  </si>
  <si>
    <t>Fault resolution rate</t>
  </si>
  <si>
    <t>When the ADAS product is deployed and operated under defined driving conditions and over the specified service life (e.g., 10 years / 200,000 km), the software shall operate with minimal faults and a continuously improving fault resolution rate.</t>
  </si>
  <si>
    <t>1. The ADAS software shall achieve a fault resolution rate ≥ 95% within each development phase; 2. MTBF for ADAS ECU software shall be ≥ 500 hours in field operation; 3. Failure rate shall not exceed 1 failure per 1,000 operating hours.</t>
  </si>
  <si>
    <t>X = A/BA = Number of faults resolved during development and operationB = Number of faults detected during development and operation</t>
  </si>
  <si>
    <t>1. Fault resolution rate X ≥ 0.95 (PASS), &lt; 0.90 (FAIL);2. MTBF ≥ 500 hours (PASS), &lt; 200 hours (FAIL); 3. Failure rate ≤ 0.001 failures/hour; MTBF improvement ratio ≥ 1.0 (no regression)</t>
  </si>
  <si>
    <t>Analysis/Design, Implementation</t>
  </si>
  <si>
    <t>Software Fault Tracking and Resolution Review (per phase); Field failure data analysis (FTA/FMEA); Reliability Growth Testing (RGT); ISO 26262 Diagnostic Coverage verification</t>
  </si>
  <si>
    <t>Plan how Faultlessness will be managed. Define scope, owner, standards, analysis method, verification level and expected evidence. Focus: Product performs specified functions without functional faults under nominal ODD.</t>
  </si>
  <si>
    <t>Reliability plan; defect classification rule; reliability target and measurement method</t>
  </si>
  <si>
    <t>Check that Faultlessness is converted into explicit quality requirements with measurable acceptance criteria, traceability and feasibility review. Focus: Product performs specified functions without functional faults under nominal ODD.</t>
  </si>
  <si>
    <t>Faultlessness requirements; failure definition; reliability KPI acceptance criteria; nominal ODD test strategy</t>
  </si>
  <si>
    <t>Check that architecture, detailed design, implementation and component level tests address Faultlessness. Focus: Product performs specified functions without functional faults under nominal ODD.</t>
  </si>
  <si>
    <t>Static analysis report; unit/component defect trend; component reliability test report; defect closure evidence</t>
  </si>
  <si>
    <t>Check that integrated software and platform configuration preserve Faultlessness under realistic interfaces, timing, resource load and fault conditions. Focus: Product performs specified functions without functional faults under nominal ODD.</t>
  </si>
  <si>
    <t>Integrated reliability test report; regression defect trend; abnormal behavior log review</t>
  </si>
  <si>
    <t>Check final verification and validation evidence proves Faultlessness for the release baseline and target configuration. Focus: Product performs specified functions without functional faults under nominal ODD.</t>
  </si>
  <si>
    <t>Final reliability validation; MTBF or failure rate evidence; release defect list and residual risk approval</t>
  </si>
  <si>
    <t>Check production and operation feedback, residual issues, field evidence and maintenance handover for Faultlessness. Focus: Product performs specified functions without functional faults under nominal ODD.</t>
  </si>
  <si>
    <t>Field failure analysis; warranty or operational defect trend; reliability growth and corrective action report</t>
  </si>
  <si>
    <t>Fault tracking report; Reliability test report; Field monitoring log; Fault injection report; FMEA/FTA link</t>
  </si>
  <si>
    <t>64</t>
  </si>
  <si>
    <t>AIM-RFa-001-G</t>
  </si>
  <si>
    <t>AI model silent failure rate</t>
  </si>
  <si>
    <t>When the AI model processes sensor inputs across all ODD conditions including edge cases, it shall minimize silent failures — incorrect outputs produced without any confidence or OOD signal — that could propagate undetected into safety-critical ADAS decisions.</t>
  </si>
  <si>
    <t>AI model silent failure rate X ≥ 0.99 (≤ 1% silent failures); all outputs with model confidence below the defined threshold shall trigger an uncertainty flag to the safety monitor; safety-critical silent failures = 0 in the validation test suite.</t>
  </si>
  <si>
    <t>X = 1 - A/BA = Number of incorrect outputs produced without any uncertainty/error signalB = Total inference outputs evaluated</t>
  </si>
  <si>
    <t>X ≥ 0.99: PASS; X &lt; 0.97: FAILUncertainty flagging coverage for low-confidence outputs = 100%: PASS; any missed flag on safety-critical output: FAILSafety-critical silent failure count = 0: PASS; ≥ 1: FAIL</t>
  </si>
  <si>
    <t>Reliability plan; defect classification rule; reliability target and measurement method; AI validation strategy; dataset and model governance plan; ODD scenario catalogue plan</t>
  </si>
  <si>
    <t>Faultlessness requirements; failure definition; reliability KPI acceptance criteria; nominal ODD test strategy; AI quality requirements; dataset requirement; ODD scenario catalogue; ground truth acceptance criteria</t>
  </si>
  <si>
    <t>Static analysis report; unit/component defect trend; component reliability test report; defect closure evidence; Model design or training configuration; dataset baseline record; model review; component verification report</t>
  </si>
  <si>
    <t>Integrated reliability test report; regression defect trend; abnormal behavior log review; AI component integration test report; interface and tensor contract verification; SIL or HIL logs with model version</t>
  </si>
  <si>
    <t>Final reliability validation; MTBF or failure rate evidence; release defect list and residual risk approval; Benchmark validation report; dataset card; ground truth QA record; model release baseline; residual risk approval</t>
  </si>
  <si>
    <t>Field failure analysis; warranty or operational defect trend; reliability growth and corrective action report; Field performance monitoring report; distribution shift review; model/data change record; incident replay evidence</t>
  </si>
  <si>
    <t>Fault tracking report; Reliability test report; Field monitoring log; Fault injection report; FMEA/FTA link; Dataset card; Benchmark report; Ground truth QA record; Model version record</t>
  </si>
  <si>
    <t>65</t>
  </si>
  <si>
    <t>ADAS-RFa-002-G</t>
  </si>
  <si>
    <t>Mean time between failures (MTBF)</t>
  </si>
  <si>
    <t>X = A/BA = Operation timeB = Number of product failures that occurred during operation time</t>
  </si>
  <si>
    <t>1. Software Fault Tracking and Resolution Review (per phase); 2. Field failure data analysis (FTA/FMEA); 3. Reliability Testing; 4. ISO 26262 Diagnostic Coverage verification</t>
  </si>
  <si>
    <t>66</t>
  </si>
  <si>
    <t>ADAS-RFa-003-G</t>
  </si>
  <si>
    <t>MTBF improvement</t>
  </si>
  <si>
    <t>X = A/BA = MTBF measured during current operation timeB = MTBF measured during previous operation time</t>
  </si>
  <si>
    <t>67</t>
  </si>
  <si>
    <t>ADAS-RFa-004-G</t>
  </si>
  <si>
    <t>Failure rate</t>
  </si>
  <si>
    <t>X = A/BA = Amount of time in which failures are detectedB = Duration of observation period</t>
  </si>
  <si>
    <t>68</t>
  </si>
  <si>
    <t>ADAS-RFa-005-G</t>
  </si>
  <si>
    <t>Failure rate improvement</t>
  </si>
  <si>
    <t>X = A/BA = Failure rate measured during current operation timeB = Failure rate measured during previous operation time</t>
  </si>
  <si>
    <t>69</t>
  </si>
  <si>
    <t>Availability</t>
  </si>
  <si>
    <t>ADAS-RAv-001-G</t>
  </si>
  <si>
    <t>Product availability</t>
  </si>
  <si>
    <t>When the ADAS product is scheduled for operation during a defined driving session, the system shall be available and ready to operate for the entirety of the scheduled operation time, with minimal unplanned downtime.</t>
  </si>
  <si>
    <t>The ADAS product shall achieve a system availability of ≥ 99.5% of scheduled driving operation time; mean down time per failure shall not exceed 30 seconds for self-recoverable faults and 10 minutes for non-safety-critical maintenance.</t>
  </si>
  <si>
    <t>X = A/BA = Product operation time providedB = Product operation time specified in the operation schedule</t>
  </si>
  <si>
    <t>1. System availability X ≥ 0.995 (PASS), &lt; 0.990 (FAIL);2.Mean down time ≤ 30 sec for auto-recoverable faults; 3. Unplanned ADAS unavailability events ≤ 1 per 10,000 km</t>
  </si>
  <si>
    <t>1. Field availability monitoring (OBD/telematics logging); 2. Reliability Testing; 3. Unplanned downtime tracking in fleet data.</t>
  </si>
  <si>
    <t>Plan how Availability will be managed. Define scope, owner, standards, analysis method, verification level and expected evidence. Focus: Product is operational when required and unavailable states are explicit and safe.</t>
  </si>
  <si>
    <t>Availability target; service availability concept; unavailable state handling strategy</t>
  </si>
  <si>
    <t>Check that Availability is converted into explicit quality requirements with measurable acceptance criteria, traceability and feasibility review. Focus: Product is operational when required and unavailable states are explicit and safe.</t>
  </si>
  <si>
    <t>Availability requirements; downtime criteria; safe unavailable state requirements; monitoring requirements</t>
  </si>
  <si>
    <t>Check that architecture, detailed design, implementation and component level tests address Availability. Focus: Product is operational when required and unavailable states are explicit and safe.</t>
  </si>
  <si>
    <t>Availability design review; component timeout and health-monitor test report; recovery precondition evidence</t>
  </si>
  <si>
    <t>Check that integrated software and platform configuration preserve Availability under realistic interfaces, timing, resource load and fault conditions. Focus: Product is operational when required and unavailable states are explicit and safe.</t>
  </si>
  <si>
    <t>Integrated availability test; communication loss and unavailable-state logs; diagnostic status verification</t>
  </si>
  <si>
    <t>Check final verification and validation evidence proves Availability for the release baseline and target configuration. Focus: Product is operational when required and unavailable states are explicit and safe.</t>
  </si>
  <si>
    <t>Final availability validation; downtime analysis; release monitoring setup evidence</t>
  </si>
  <si>
    <t>Check production and operation feedback, residual issues, field evidence and maintenance handover for Availability. Focus: Product is operational when required and unavailable states are explicit and safe.</t>
  </si>
  <si>
    <t>Production availability monitoring; downtime event report; service recovery and maintenance records</t>
  </si>
  <si>
    <t>70</t>
  </si>
  <si>
    <t>ADAS-RAv-002-G</t>
  </si>
  <si>
    <t>Mean down time</t>
  </si>
  <si>
    <t>X = A/BA = Total down timeB = Number of breakdowns observed</t>
  </si>
  <si>
    <t>71</t>
  </si>
  <si>
    <t>Fault Tolerance</t>
  </si>
  <si>
    <t>ADAS-RFt-001-G</t>
  </si>
  <si>
    <t>Fault avoidance</t>
  </si>
  <si>
    <t>When faults occur in ADAS hardware components (sensor failure, ECU fault) or software (runtime errors), the ADAS system shall detect, mitigate or tolerate faults without causing unsafe vehicle behavior, maintaining degraded but safe operation.</t>
  </si>
  <si>
    <t>The ADAS system shall detect and handle 100% of faults identified in the FMEA/FTA as requiring fault tolerance; redundant safety-critical components (e.g., redundant steering actuators for L3+) shall be implemented per ISO 26262 ASIL requirements.</t>
  </si>
  <si>
    <t>X = A/BA = Number of fault patterns under controlB = Number of fault patterns causing failure during testing</t>
  </si>
  <si>
    <t>1. Fault detection and mitigation/tolerance rate X ≥ 0.95; 3. Mean fault notification time ≤ 100 ms for safety-critical faults</t>
  </si>
  <si>
    <t>1. Fault Injection Test</t>
  </si>
  <si>
    <t>Plan how Fault tolerance will be managed. Define scope, owner, standards, analysis method, verification level and expected evidence. Focus: Product operates safely despite hardware, software, input, timeout or communication faults.</t>
  </si>
  <si>
    <t>Fault tolerance strategy; fault injection plan; abnormal input and timeout coverage plan</t>
  </si>
  <si>
    <t>Check that Fault tolerance is converted into explicit quality requirements with measurable acceptance criteria, traceability and feasibility review. Focus: Product operates safely despite hardware, software, input, timeout or communication faults.</t>
  </si>
  <si>
    <t>Fault tolerance requirements; fault list from FMEA/FTA; expected degraded behavior and safe output criteria</t>
  </si>
  <si>
    <t>Check that architecture, detailed design, implementation and component level tests address Fault tolerance. Focus: Product operates safely despite hardware, software, input, timeout or communication faults.</t>
  </si>
  <si>
    <t>Fault handling design; component fault injection report; timeout and invalid input test results</t>
  </si>
  <si>
    <t>Check that integrated software and platform configuration preserve Fault tolerance under realistic interfaces, timing, resource load and fault conditions. Focus: Product operates safely despite hardware, software, input, timeout or communication faults.</t>
  </si>
  <si>
    <t>Integrated fault injection report; degraded mode logs; no unsafe output evidence under component and communication faults</t>
  </si>
  <si>
    <t>Check final verification and validation evidence proves Fault tolerance for the release baseline and target configuration. Focus: Product operates safely despite hardware, software, input, timeout or communication faults.</t>
  </si>
  <si>
    <t>Final fault tolerance validation; safety case evidence; release fault coverage matrix</t>
  </si>
  <si>
    <t>Check production and operation feedback, residual issues, field evidence and maintenance handover for Fault tolerance. Focus: Product operates safely despite hardware, software, input, timeout or communication faults.</t>
  </si>
  <si>
    <t>Field fault handling records; fallback activation trend; root cause and corrective action evidence</t>
  </si>
  <si>
    <t>72</t>
  </si>
  <si>
    <t>AIM-RFt-001-G</t>
  </si>
  <si>
    <t>AI model robustness to sensor input faults</t>
  </si>
  <si>
    <t>When the AI model receives corrupted, degraded, or partially missing sensor inputs (camera lens contamination, radar occlusion, LiDAR beam dropout), it shall tolerate the fault by maintaining acceptable performance or triggering a safe fallback, rather than producing a dangerously incorrect output.</t>
  </si>
  <si>
    <t>Fault tolerance rate X ≥ 0.95 across all defined sensor fault scenarios; for complete sensor channel loss, safe degradation mode shall activate in 100% of cases; dangerously incorrect outputs without a fault signal = 0.</t>
  </si>
  <si>
    <t>X = A/BA = Number of sensor fault scenarios where AI produces safe output or safe fallbackB = Total injected sensor fault scenarios</t>
  </si>
  <si>
    <t>PASS: Aggregate sensor fault tolerance rate X ≥ 0.95 across the defined fault scenario set; complete sensor channel loss triggers safe degradation in 100% of applicable cases; dangerously incorrect outputs without fault or uncertainty signal = 0. MARGINAL: 0.90 ≤ X &lt; 0.95 only for non-safety-relevant degraded scenarios with safety monitor coverage and approved limitation. FAIL: X &lt; 0.90, any missed safe degradation for complete channel loss, or any dangerous output without signal.</t>
  </si>
  <si>
    <t>Fault tolerance strategy; fault injection plan; abnormal input and timeout coverage plan; AI validation strategy; dataset and model governance plan; ODD scenario catalogue plan</t>
  </si>
  <si>
    <t>Fault tolerance requirements; fault list from FMEA/FTA; expected degraded behavior and safe output criteria; AI quality requirements; dataset requirement; ODD scenario catalogue; ground truth acceptance criteria</t>
  </si>
  <si>
    <t>Fault handling design; component fault injection report; timeout and invalid input test results; Model design or training configuration; dataset baseline record; model review; component verification report</t>
  </si>
  <si>
    <t>Integrated fault injection report; degraded mode logs; no unsafe output evidence under component and communication faults; AI component integration test report; interface and tensor contract verification; SIL or HIL logs with model version</t>
  </si>
  <si>
    <t>Final fault tolerance validation; safety case evidence; release fault coverage matrix; Benchmark validation report; dataset card; ground truth QA record; model release baseline; residual risk approval</t>
  </si>
  <si>
    <t>Field fault handling records; fallback activation trend; root cause and corrective action evidence; Field performance monitoring report; distribution shift review; model/data change record; incident replay evidence</t>
  </si>
  <si>
    <t>73</t>
  </si>
  <si>
    <t>ADAS-RFt-002-G</t>
  </si>
  <si>
    <t>Fault identification</t>
  </si>
  <si>
    <t>X = A/BA = Number of test cases that have detected faults during testing or analysisB = Number of test cases</t>
  </si>
  <si>
    <t>74</t>
  </si>
  <si>
    <t>ADAS-RFt-003-G</t>
  </si>
  <si>
    <t>Redundancy of components</t>
  </si>
  <si>
    <t>X = A/BA = Number of components duplicatedB = Number of components required for duplication</t>
  </si>
  <si>
    <t>75</t>
  </si>
  <si>
    <t>ADAS-RFt-004-G</t>
  </si>
  <si>
    <t>Mean fault notification time</t>
  </si>
  <si>
    <t>X = Σ(Ai - Bi)/nAi = Time at which fault i is reported by the productBi = Time at which fault i is detectedn = Number of faults detected</t>
  </si>
  <si>
    <t>76</t>
  </si>
  <si>
    <t>Recoverability</t>
  </si>
  <si>
    <t>ADAS-RRe-001-G</t>
  </si>
  <si>
    <t>Mean recovery time</t>
  </si>
  <si>
    <t>When the ADAS system detects a failure (ECU reset, sensor temporary dropout, software exception), it shall recover to a safe state within a specified time without loss of critical operational data.</t>
  </si>
  <si>
    <t>The ADAS system shall recover from any failure to nominal operation or minimum risk condition (MRC) within 200 ms; backup data completeness for recovery purposes shall be ≥ 95% of required data items.</t>
  </si>
  <si>
    <t>X = Σ(Ai)/nAi = Total time to recover and re-initiate operation for i-th failuren = Number of failures</t>
  </si>
  <si>
    <t>1. Mean recovery time ≤ 200 ms for safety-critical failures (PASS), &gt; 500 ms (FAIL); 2. Backup data completeness X ≥ 0.95; 3. System recovers to MRC in 100% of injected fault scenarios</t>
  </si>
  <si>
    <t>Plan how Recoverability will be managed. Define scope, owner, standards, analysis method, verification level and expected evidence. Focus: Product recovers to a desired state after interruption without instability or unsafe output.</t>
  </si>
  <si>
    <t>Recovery strategy; reset and re-initialization concept; recovery stability criteria</t>
  </si>
  <si>
    <t>Check that Recoverability is converted into explicit quality requirements with measurable acceptance criteria, traceability and feasibility review. Focus: Product recovers to a desired state after interruption without instability or unsafe output.</t>
  </si>
  <si>
    <t>Recoverability requirements; recovery time, state consistency and availability trade-off criteria</t>
  </si>
  <si>
    <t>Check that architecture, detailed design, implementation and component level tests address Recoverability. Focus: Product recovers to a desired state after interruption without instability or unsafe output.</t>
  </si>
  <si>
    <t>Recovery design review; component restart and state recovery test report; data consistency test evidence</t>
  </si>
  <si>
    <t>Check that integrated software and platform configuration preserve Recoverability under realistic interfaces, timing, resource load and fault conditions. Focus: Product recovers to a desired state after interruption without instability or unsafe output.</t>
  </si>
  <si>
    <t>Integrated recovery test report; restart, re-sync and degraded-to-normal transition logs</t>
  </si>
  <si>
    <t>Check final verification and validation evidence proves Recoverability for the release baseline and target configuration. Focus: Product recovers to a desired state after interruption without instability or unsafe output.</t>
  </si>
  <si>
    <t>Final recovery validation; release recovery criteria approval; residual limitation record</t>
  </si>
  <si>
    <t>Check production and operation feedback, residual issues, field evidence and maintenance handover for Recoverability. Focus: Product recovers to a desired state after interruption without instability or unsafe output.</t>
  </si>
  <si>
    <t>Field recovery event log; recovery failure analysis; maintenance and update procedure record</t>
  </si>
  <si>
    <t>77</t>
  </si>
  <si>
    <t>ADAS-RRe-002-G</t>
  </si>
  <si>
    <t>Mean recovery time by component recovery level</t>
  </si>
  <si>
    <t>X = Σ(Ai)/nAi = Total time to recover the failed component at the specified recovery level for failure in = Number of failures</t>
  </si>
  <si>
    <t>78</t>
  </si>
  <si>
    <t>ADAS-RRe-003-G</t>
  </si>
  <si>
    <t>Backup data completeness</t>
  </si>
  <si>
    <t>X = A/BA = Number of data items backed up regularlyB = Number of data items requiring backup for error recovery</t>
  </si>
  <si>
    <t>79</t>
  </si>
  <si>
    <t>Security</t>
  </si>
  <si>
    <t>Confidentiality</t>
  </si>
  <si>
    <t>P1</t>
  </si>
  <si>
    <t>ADAS-SCo-001-G</t>
  </si>
  <si>
    <t>Access controllability</t>
  </si>
  <si>
    <t>When the ADAS product collects, processes, or transmits sensitive data (vehicle location, driver behavior, camera feeds), all data shall be protected from unauthorized access using specified cryptographic mechanisms.</t>
  </si>
  <si>
    <t>The ADAS product shall implement  encryption for all sensitive data at rest and in transit; access to confidential data shall be controlled by role-based access control; all cryptographic algorithms shall comply with ISO/SAE 21434 requirements.</t>
  </si>
  <si>
    <t>X = 1 - A/BA = Number of confidential data items accessible without authorizationB = Number of data items requiring access control</t>
  </si>
  <si>
    <t>1. Access control X = 1.0 (0 unauthorized accesses); 2. Encryption correctness X = 1.0; 3. Cryptographic algorithm strength X = 1.0 (no broken algorithms); 4. Data transmission protection X = 1.0 for all communication channels</t>
  </si>
  <si>
    <t>Penetration testing (per ISO/SAE 21434 TARA); Cryptographic algorithm review; Access control boundary test; GDPR/APPI data minimization audit; HSM (Hardware Security Module) integration verification</t>
  </si>
  <si>
    <t>Integrity scope and asset list; cybersecurity responsibility boundary</t>
  </si>
  <si>
    <t>Integrity requirements and tamper response criteria</t>
  </si>
  <si>
    <t>Integrity mechanism implementation and component verification evidence</t>
  </si>
  <si>
    <t>Integrated integrity verification and tamper detection logs</t>
  </si>
  <si>
    <t>Release integrity verification and signed baseline record</t>
  </si>
  <si>
    <t>Production integrity monitoring and audit trail</t>
  </si>
  <si>
    <t>Specification; Test report; Traceability evidence</t>
  </si>
  <si>
    <t>80</t>
  </si>
  <si>
    <t>ADAS-SCo-002-G</t>
  </si>
  <si>
    <t>Access control mechanism sufficiency</t>
  </si>
  <si>
    <t>X = A/BA = Number of access control mechanisms implementedB = Number of access control mechanisms required to be implemented</t>
  </si>
  <si>
    <t>1. Penetration testing (per ISO/SAE 21434 TARA); 2. Cryptographic algorithm review; 3. Access control boundary test; 4. HSM (Hardware Security Module) integration verification</t>
  </si>
  <si>
    <t>81</t>
  </si>
  <si>
    <t>ADAS-SCo-003-G</t>
  </si>
  <si>
    <t>Data encryption correctness</t>
  </si>
  <si>
    <t>X = A/BA = Number of data items encrypted/decrypted correctlyB = Number of data items requiring encryption/decryption</t>
  </si>
  <si>
    <t>82</t>
  </si>
  <si>
    <t>ADAS-SCo-004-G</t>
  </si>
  <si>
    <t>Strength of cryptographic algorithms</t>
  </si>
  <si>
    <t>X = 1 - A/BA = Number of cryptographic algorithms broken or unacceptably riskyB = Number of cryptographic algorithms used</t>
  </si>
  <si>
    <t>83</t>
  </si>
  <si>
    <t>ADAS-SCo-005-G</t>
  </si>
  <si>
    <t>One-way encryption algorithm</t>
  </si>
  <si>
    <t>X = A/BA = Number of data items encrypted using a one-way encryption algorithmB = Number of data items required to be encrypted using one-way algorithm</t>
  </si>
  <si>
    <t>84</t>
  </si>
  <si>
    <t>ADAS-SCo-006-G</t>
  </si>
  <si>
    <t>Data transmission protection</t>
  </si>
  <si>
    <t>X = A/BA = Number of communication paths transmitting data through a secure cryptographic channelB = Total number of communication paths transmitting data</t>
  </si>
  <si>
    <t>85</t>
  </si>
  <si>
    <t>ADAS-SCo-001-S</t>
  </si>
  <si>
    <t>Minimization of personal data collection</t>
  </si>
  <si>
    <t>The ADAS product shall collect only personal data that is necessary for approved ADAS functions, diagnostics, safety monitoring, or legally required purposes, and each collected data item shall have a documented purpose, retention rule, and access control.</t>
  </si>
  <si>
    <t>X = 1 - A/BA = Number of unnecessary personal data items among collected personal dataB = Total number of collected personal data items</t>
  </si>
  <si>
    <t>PASS: X ≥ 0.95 and every collected personal data item has documented purpose, legal basis, retention rule, and data minimization rationale. MARGINAL: 0.90 ≤ X &lt; 0.95 with corrective privacy action before release. FAIL: X &lt; 0.90 or any unnecessary sensitive, biometric, location, or driver-behavior data is collected without approved justification.</t>
  </si>
  <si>
    <t>86</t>
  </si>
  <si>
    <t>Integrity</t>
  </si>
  <si>
    <t>ADAS-SIn-001-G</t>
  </si>
  <si>
    <t>Data integrity</t>
  </si>
  <si>
    <t>When the ADAS product's critical software, configuration data, and calibration files are stored or transmitted, all data shall be protected from unauthorized modification or corruption through verified integrity mechanisms.</t>
  </si>
  <si>
    <t>1. The ADAS product shall implement cryptographic integrity verification for all safety-critical software and data; 2.Any integrity violation shall be detected and reported within 100 ms; 3. 0 undetected integrity corruption events are permitted.</t>
  </si>
  <si>
    <t>X = 1 - A/BA = Number of data items corrupted by unauthorized access, modification or deletionB = Number of components where internal data corruption prevention is necessary</t>
  </si>
  <si>
    <t>1. Data integrity X = 1.0 (0 undetected corruptions); 2. Internal data corruption prevention X = 1.0; 3. Executable file integrity X = 1.0; 4.Integrity violation response rate = 100% within 100 ms</t>
  </si>
  <si>
    <t>1. Secure Boot verification test; 2. Fault injection for data corruption detection; 3. ISO/SAE 21434 integrity verification review.</t>
  </si>
  <si>
    <t>Plan how Integrity will be managed. Define scope, owner, standards, analysis method, verification level and expected evidence. Focus: Input, model, configuration, calibration, package, storage and logs are protected from unauthorized modification.</t>
  </si>
  <si>
    <t>Critical asset list; integrity protection scope; cybersecurity responsibility boundary; integrity verification plan</t>
  </si>
  <si>
    <t>Check that Integrity is converted into explicit quality requirements with measurable acceptance criteria, traceability and feasibility review. Focus: Input, model, configuration, calibration, package, storage and logs are protected from unauthorized modification.</t>
  </si>
  <si>
    <t>Integrity requirements for input, model, configuration, calibration, update package and logs; tamper response criteria</t>
  </si>
  <si>
    <t>Check that architecture, detailed design, implementation and component level tests address Integrity. Focus: Input, model, configuration, calibration, package, storage and logs are protected from unauthorized modification.</t>
  </si>
  <si>
    <t>Integrity protection design; checksum/signature or secure storage implementation evidence; component tamper test report</t>
  </si>
  <si>
    <t>Check that integrated software and platform configuration preserve Integrity under realistic interfaces, timing, resource load and fault conditions. Focus: Input, model, configuration, calibration, package, storage and logs are protected from unauthorized modification.</t>
  </si>
  <si>
    <t>Integrated integrity verification; secure update or configuration loading test; tamper detection logs</t>
  </si>
  <si>
    <t>Check final verification and validation evidence proves Integrity for the release baseline and target configuration. Focus: Input, model, configuration, calibration, package, storage and logs are protected from unauthorized modification.</t>
  </si>
  <si>
    <t>Release package integrity verification; signed baseline record; cybersecurity integrity assessment; release approval</t>
  </si>
  <si>
    <t>Check production and operation feedback, residual issues, field evidence and maintenance handover for Integrity. Focus: Input, model, configuration, calibration, package, storage and logs are protected from unauthorized modification.</t>
  </si>
  <si>
    <t>Production integrity monitoring; tamper or corruption incident record; update and configuration audit trail</t>
  </si>
  <si>
    <t>87</t>
  </si>
  <si>
    <t>ADAS-SIn-002-G</t>
  </si>
  <si>
    <t>Internal data corruption prevention</t>
  </si>
  <si>
    <t>X = A/BA = Number of internal data corruption prevention methods implementedB = Number of components where prevention method is necessary</t>
  </si>
  <si>
    <t>88</t>
  </si>
  <si>
    <t>ADAS-SIn-003-G</t>
  </si>
  <si>
    <t>Important executable file integrity</t>
  </si>
  <si>
    <t>X = 1 - A/BA = Number of important executable files modified or deleted due to unauthorized accessB = Total number of important executable files that must be protected</t>
  </si>
  <si>
    <t>89</t>
  </si>
  <si>
    <t>ADAS-SIn-004-G</t>
  </si>
  <si>
    <t>Response to integrity corruption</t>
  </si>
  <si>
    <t>X = A/BA = Number of response actions implemented when detecting integrity corruptionB = Number of response actions specified to be performed when detecting integrity corruption</t>
  </si>
  <si>
    <t>90</t>
  </si>
  <si>
    <t>Non-repudiation</t>
  </si>
  <si>
    <t>ADAS-SNo-001-G</t>
  </si>
  <si>
    <t>Non-repudiation assurance</t>
  </si>
  <si>
    <t>When safety-critical events (AEB activation, OTA update, driver override) occur in the ADAS system, all events shall be recorded with cryptographically assured, non-repudiable evidence that can be verified for legal and safety investigation purposes.</t>
  </si>
  <si>
    <t>The ADAS system shall record 100% of specified safety-critical events with trusted timestamps and digital signatures; all non-repudiation evidence shall be verifiable using specified cryptographic methods without reliance on a single point of trust.</t>
  </si>
  <si>
    <t>X = A/BA = Number of actions or events successfully proven using specified non-repudiation methodsB = Number of actions or events requiring non-repudiation</t>
  </si>
  <si>
    <t>1. Non-repudiation assurance X = 1.0 for safety events; 2. Trusted timestamp coverage X = 1.0 for required functions; 3. Digital signature verification success rate = 100%; 4. Audit log tamper-evidence verified</t>
  </si>
  <si>
    <t>1. Event log integrity audit; 2. Digital signature verification test; Trusted timestamp authority  integration test; 3. Legal evidence chain verification; 4. ISO/SAE 21434 evidence requirements review.</t>
  </si>
  <si>
    <t>91</t>
  </si>
  <si>
    <t>ADAS-SNo-002-G</t>
  </si>
  <si>
    <t>Non-repudiation implementation completeness</t>
  </si>
  <si>
    <t>X = A/BA = Number of non-repudiation methods completely implemented using secure methodsB = Total number of non-repudiation methods required to be implemented</t>
  </si>
  <si>
    <t>92</t>
  </si>
  <si>
    <t>ADAS-SNo-003-G</t>
  </si>
  <si>
    <t>Utilization of trusted timestamps</t>
  </si>
  <si>
    <t>When safety-critical events (AEB activation, OTA update, driver override) occur in the ADAS system, all events shall be recorded with cryptographically assured, non-repudiable evidence that can be verified.</t>
  </si>
  <si>
    <t>X = A/BA = Number of functions using trusted timestampsB = Number of functions requiring trusted timestamps</t>
  </si>
  <si>
    <t>93</t>
  </si>
  <si>
    <t>Accountability</t>
  </si>
  <si>
    <t>ADAS-SAc-001-G</t>
  </si>
  <si>
    <t>User audit trail completeness</t>
  </si>
  <si>
    <t>When users, services, or systems access or interact with the ADAS product (OTA updates, diagnostic access, remote monitoring), all access and operational events shall be recorded in tamper-resistant audit logs with sufficient details.</t>
  </si>
  <si>
    <t>The ADAS product shall log 100% of specified access and operational events; audit logs shall be retained in tamper-resistant storage for a minimum of 3 years or as required by regulation; log access shall require authentication.</t>
  </si>
  <si>
    <t>X = A/BA = Number of user accesses or activities recorded in logsB = Number of user accesses or activities required to be recorded in logs</t>
  </si>
  <si>
    <t>1. User audit trail completeness X = 1.0 for all specified events; 2. Audit log retention X = 1.0 (all log types retained for required period); 3. Tamper-evident storage implementation verified: PASS</t>
  </si>
  <si>
    <t>1. Audit log completeness test (event injection and log verification); 2. Log retention period verification; Log tamper-resistance test (attempt unauthorized modification);3. ISO/SAE 21434 audit log requirements review</t>
  </si>
  <si>
    <t>94</t>
  </si>
  <si>
    <t>ADAS-SAc-002-G</t>
  </si>
  <si>
    <t>Audit log retention</t>
  </si>
  <si>
    <t>X = A/BA = Number of product log types retained in stable storage for specified retention periodB = Number of product log types required to be retained for specified retention period</t>
  </si>
  <si>
    <t>95</t>
  </si>
  <si>
    <t>ADAS-SAc-003-G</t>
  </si>
  <si>
    <t>Mechanism for audit log</t>
  </si>
  <si>
    <t>X = A/BA = Number of mechanisms for secure and stable audit log retention implementedB = Number of mechanisms required for secure and stable audit log retention</t>
  </si>
  <si>
    <t>96</t>
  </si>
  <si>
    <t>Authenticity</t>
  </si>
  <si>
    <t>ADAS-SAu-001-G</t>
  </si>
  <si>
    <t>Authentication mechanism sufficiency</t>
  </si>
  <si>
    <t>When external entities (OTA server, diagnostic tool, V2X RSU) interact with the ADAS product, the system shall authenticate all entities using specified mechanisms before granting access to any sensitive function or data.</t>
  </si>
  <si>
    <t>The ADAS product shall implement PKI-based mutual authentication for all external communications; authentication shall be required for all OTA, diagnostic (UDS), and V2X interactions; all authentication rules shall conform to ISO/SAE 21434 specifications.</t>
  </si>
  <si>
    <t>X = A/BA = Number of authentication mechanisms implementedB = Number of authentication mechanisms specified</t>
  </si>
  <si>
    <t>1. Authentication mechanism sufficiency X = 1.0 (all specified mechanisms implemented); 2.Authentication rules conformity X = 1.0; 3. Authentication protection X = 1.0; 4. 0 successful authentication bypass events in security testing</t>
  </si>
  <si>
    <t>1. Authentication penetration test; 2. PKI certificate chain validation; 3. OTA authentication protocol test; 4. UDS (Unified Diagnostic Services) authentication test; 5. V2X PKI credential management verification.</t>
  </si>
  <si>
    <t>97</t>
  </si>
  <si>
    <t>ADAS-SAu-002-G</t>
  </si>
  <si>
    <t>Authentication rules conformity</t>
  </si>
  <si>
    <t>X = A/BA = Number of authentication rules implementedB = Number of authentication rules specified</t>
  </si>
  <si>
    <t>Implementation, V&amp;V, Operation</t>
  </si>
  <si>
    <t>98</t>
  </si>
  <si>
    <t>ADAS-SAu-003-G</t>
  </si>
  <si>
    <t>Authentication protection mechanism</t>
  </si>
  <si>
    <t>X = A/BA = Number of implemented authentication protection mechanismsB = Number of mechanisms required for secure authentication protection</t>
  </si>
  <si>
    <t>99</t>
  </si>
  <si>
    <t>Resistance</t>
  </si>
  <si>
    <t>ADAS-SRe-001-G</t>
  </si>
  <si>
    <t>Resistance to hacker attacks</t>
  </si>
  <si>
    <t>When the ADAS product is subjected to cybersecurity attacks as identified in the TARA, the system shall resist all specified attacks and maintain safe and functional operation.</t>
  </si>
  <si>
    <t>The ADAS product shall resist 100% of high-risk attacks identified in the TARA (per ISO/SAE 21434); all middleware and OS components shall be free of known critical CVEs; penetration testing shall demonstrate ≥ 95% attack resistance.</t>
  </si>
  <si>
    <t>X = A/BA = Number of penetration attempts that were unsuccessfulB = Total number of penetration attempts during security testing</t>
  </si>
  <si>
    <t>PASS: 100% of high-risk TARA attack paths have implemented and verified mitigations; no known unmitigated critical CVEs; overall penetration resistance X ≥ 0.95 across the defined penetration test campaign; spoofing and replay attack controls verified. MARGINAL: 0.90 ≤ X &lt; 0.95 only for low-risk or non-safety attack paths with accepted residual cybersecurity risk. FAIL: any unmitigated high-risk TARA scenario, any critical CVE without approved mitigation, or X &lt; 0.90.</t>
  </si>
  <si>
    <t>1. ISO/SAE 21434 TARA-based penetration testing; 2. CVE scan of middleware and OS components; 3. Sensor spoofing test (camera, radar, GNSS); 4. CAN bus fuzzing test; 5. Physical access security test</t>
  </si>
  <si>
    <t>100</t>
  </si>
  <si>
    <t>AIM-Res-001-G</t>
  </si>
  <si>
    <t>AI model adversarial attack resistance rate</t>
  </si>
  <si>
    <t>When the AI model is subjected to adversarial attacks identified in the TARA (physical adversarial patches, camera/LiDAR spoofing, model poisoning), it shall resist attacks and maintain safe outputs, or detect the attack and trigger safe degradation, without producing dangerously incorrect inference results.</t>
  </si>
  <si>
    <t>Adversarial attack resistance X ≥ 0.95 across all high-risk TARA attacks; pedestrian detection recall under adversarial patch attack ≥ 0.85; sensor spoofing attacks detected in ≥ 90% of attempts.</t>
  </si>
  <si>
    <t>X = A/BA = Number of adversarial attack attempts that failed to cause safety-critical model output errorB = Total adversarial attack attempts in security test</t>
  </si>
  <si>
    <t>Adversarial resistance X ≥ 0.95: PASS; X &lt; 0.90: FAILPedestrian recall under adversarial patch ≥ 0.85: PASS; &lt; 0.80: FAILSensor spoofing detection rate ≥ 0.90: PASS; &lt; 0.80: FAIL</t>
  </si>
  <si>
    <t>Integrity scope and asset list; cybersecurity responsibility boundary; AI validation strategy; dataset and model governance plan; ODD scenario catalogue plan</t>
  </si>
  <si>
    <t>Integrity requirements and tamper response criteria; AI quality requirements; dataset requirement; ODD scenario catalogue; ground truth acceptance criteria</t>
  </si>
  <si>
    <t>Integrity mechanism implementation and component verification evidence; Model design or training configuration; dataset baseline record; model review; component verification report</t>
  </si>
  <si>
    <t>Integrated integrity verification and tamper detection logs; AI component integration test report; interface and tensor contract verification; SIL or HIL logs with model version</t>
  </si>
  <si>
    <t>Release integrity verification and signed baseline record; Benchmark validation report; dataset card; ground truth QA record; model release baseline; residual risk approval</t>
  </si>
  <si>
    <t>Production integrity monitoring and audit trail; Field performance monitoring report; distribution shift review; model/data change record; incident replay evidence</t>
  </si>
  <si>
    <t>Specification; Test report; Traceability evidence; Dataset card; Benchmark report; Ground truth QA record; Model version record</t>
  </si>
  <si>
    <t>101</t>
  </si>
  <si>
    <t>ADAS-SRe-002-G</t>
  </si>
  <si>
    <t>Use of secure middleware and operating systems</t>
  </si>
  <si>
    <t>X = 1 - A/BA = Number of middleware or operating systems with known security vulnerabilitiesB = Total number of middleware or operating systems used</t>
  </si>
  <si>
    <t>102</t>
  </si>
  <si>
    <t>ADAS-SRe-003-G</t>
  </si>
  <si>
    <t>Middleware information disclosure</t>
  </si>
  <si>
    <t>X = 1 - A/BA = Number of middleware exposing important informationB = Total number of middleware used for product operation</t>
  </si>
  <si>
    <t>103</t>
  </si>
  <si>
    <t>Maintainability</t>
  </si>
  <si>
    <t>Modularity</t>
  </si>
  <si>
    <t>ADAS-MMo-001-G</t>
  </si>
  <si>
    <t>Coupling of components</t>
  </si>
  <si>
    <t>When the ADAS software architecture is designed and implemented, components shall be independent and loosely coupled to minimize the impact of changes and enable independent development, testing, and replacement of ADAS modules.</t>
  </si>
  <si>
    <t>1. Coupling index X ≥ 0.95 (≥95% of components modifiable without affecting others); 2. Cyclomatic complexity shall not exceed 10 per module.</t>
  </si>
  <si>
    <t>X = A/BA = Number of components implemented with no impact on othersB = Number of specified components required to be independent</t>
  </si>
  <si>
    <t>1. Coupling index X ≥ 0.952. cyclomatic complexity ≤ 10 per module (PASS), &gt; 20 (FAIL).</t>
  </si>
  <si>
    <t>1. Static code analysis (cyclomatic complexity measurement); 2. Architecture coupling analysis.</t>
  </si>
  <si>
    <t>Test strategy and regression automation plan</t>
  </si>
  <si>
    <t>Testability requirements and verification method definition</t>
  </si>
  <si>
    <t>Automated test report and coverage evidence</t>
  </si>
  <si>
    <t>Automated integration regression and reproducibility evidence</t>
  </si>
  <si>
    <t>Final regression package and test baseline</t>
  </si>
  <si>
    <t>Archived test assets and maintenance handover record</t>
  </si>
  <si>
    <t>104</t>
  </si>
  <si>
    <t>ADAS-MMo-002-G</t>
  </si>
  <si>
    <t>Acceptable cyclomatic complexity</t>
  </si>
  <si>
    <t>X = 1 - A/BA = Number of software modules with cyclomatic complexity exceeding specified thresholdB = Number of software modules implemented</t>
  </si>
  <si>
    <t>105</t>
  </si>
  <si>
    <t>Reusability</t>
  </si>
  <si>
    <t>ADAS-MRe-001-G</t>
  </si>
  <si>
    <t>Reusability of assets</t>
  </si>
  <si>
    <t>When ADAS software assets (algorithms, drivers, middleware) are developed, they shall be designed for reuse across ADAS variants and future platform generations to reduce development cost and time.</t>
  </si>
  <si>
    <t>At least 60% of ADAS software assets shall be designed and documented for reuse across platform variants; all reusable assets shall conform to specified AUTOSAR or customer coding standards to ensure compatibility.</t>
  </si>
  <si>
    <t>X = A/BA = Number of assets designed and implemented to be reusableB = Number of assets required to be reusable in a product</t>
  </si>
  <si>
    <t>1. Reusability of assets X ≥ 0.60 (≥60% of assets designed for reuse); 2. Coding rules conformity X ≥ 0.95; 3. Reused asset defect rate ≤ reusable asset defect rate (no quality regression from reuse)</t>
  </si>
  <si>
    <t>1. Reuse design review; 2. Coding standards compliance check (MISRA C, AUTOSAR C++14); 3. Asset reuse tracking in DOORS/JIRA; 4.Cross-platform integration test of reused components</t>
  </si>
  <si>
    <t>106</t>
  </si>
  <si>
    <t>ADAS-MRe-002-G</t>
  </si>
  <si>
    <t>Coding rules conformity</t>
  </si>
  <si>
    <t>X = A/BA = Number of product modules conforming to coding rulesB = Number of product modules implemented</t>
  </si>
  <si>
    <t>107</t>
  </si>
  <si>
    <t>Analysability</t>
  </si>
  <si>
    <t>ADAS-MAn-001-G</t>
  </si>
  <si>
    <t>Product log completeness</t>
  </si>
  <si>
    <t>When faults occur in the ADAS product in the field or during testing, the system shall provide sufficient logging, diagnostic, and traceability capabilities to enable root cause analysis and fault isolation.</t>
  </si>
  <si>
    <t>1. The ADAS product shall log ≥ 95% of specified diagnostic-relevant operations; 2. All implemented diagnostic functions shall be effective in supporting causal analysis; 3. Logs shall include timestamp, system state, and event context.</t>
  </si>
  <si>
    <t>X = A/BA = Number of operations recorded in logsB = Number of operations for which audit trails are required</t>
  </si>
  <si>
    <t>1. Log completeness X ≥ 0.95; 2. Diagnosis function effectiveness X ≥ 0.90;3.Diagnosis function sufficiency X ≥ 0.95;</t>
  </si>
  <si>
    <t>Log completeness audit (against diagnostic logging specification); Diagnostic function effectiveness evaluation; Field fault simulation and isolation exercise; OBD-II / UDS diagnostic data review</t>
  </si>
  <si>
    <t>108</t>
  </si>
  <si>
    <t>ADAS-MAn-002-G</t>
  </si>
  <si>
    <t>Diagnosis function effectiveness</t>
  </si>
  <si>
    <t>X = A/BA = Number of diagnostic functions useful for causal analysisB = Number of diagnostic functions implemented</t>
  </si>
  <si>
    <t>109</t>
  </si>
  <si>
    <t>ADAS-MAn-003-G</t>
  </si>
  <si>
    <t>Diagnosis function sufficiency</t>
  </si>
  <si>
    <t>X = A/BA = Number of diagnostic functions implementedB = Number of diagnostic functions required</t>
  </si>
  <si>
    <t>110</t>
  </si>
  <si>
    <t>AIM-MAn-001-G</t>
  </si>
  <si>
    <t>AI model explainability (XAI) coverage</t>
  </si>
  <si>
    <t>When AI model outputs are analyzed for root cause analysis, safety case argumentation, or regulatory compliance, sufficient explainability artifacts shall be available to enable human understanding of the model's decision basis and identification of failure causes.</t>
  </si>
  <si>
    <t>Explainability coverage X ≥ 0.90 for all safety-relevant AI outputs; XAI tool integrated in the AI development toolchain; XAI output generated within 1 second per inference on development hardware; XAI documentation provided for regulatory submission.</t>
  </si>
  <si>
    <t>X = A/BA = Number of AI decision outputs for which an explainability attribution (saliency map / SHAP / attention map) is available and interpretableB = Total AI decision outputs evaluated</t>
  </si>
  <si>
    <t>XAI coverage X ≥ 0.90: PASS; X &lt; 0.80: FAILXAI tool integration in toolchain: PASS; not integrated: FAILXAI output generation ≤ 1 sec on dev hardware: PASS; &gt; 5 sec: FAILXAI documentation for regulatory submission: PASS; missing: FAIL</t>
  </si>
  <si>
    <t>Test strategy and regression automation plan; AI validation strategy; dataset and model governance plan; ODD scenario catalogue plan</t>
  </si>
  <si>
    <t>Testability requirements and verification method definition; AI quality requirements; dataset requirement; ODD scenario catalogue; ground truth acceptance criteria</t>
  </si>
  <si>
    <t>Automated test report and coverage evidence; Model design or training configuration; dataset baseline record; model review; component verification report</t>
  </si>
  <si>
    <t>Automated integration regression and reproducibility evidence; AI component integration test report; interface and tensor contract verification; SIL or HIL logs with model version</t>
  </si>
  <si>
    <t>Final regression package and test baseline; Benchmark validation report; dataset card; ground truth QA record; model release baseline; residual risk approval</t>
  </si>
  <si>
    <t>Archived test assets and maintenance handover record; Field performance monitoring report; distribution shift review; model/data change record; incident replay evidence</t>
  </si>
  <si>
    <t>111</t>
  </si>
  <si>
    <t>Modifiability</t>
  </si>
  <si>
    <t>ADAS-MMd-001-G</t>
  </si>
  <si>
    <t>Modification efficiency</t>
  </si>
  <si>
    <t>When ADAS software updates (bug fixes, calibration changes, feature additions) are required, modifications shall be implemented efficiently within planned time budgets without introducing regressions or new faults.</t>
  </si>
  <si>
    <t>ADAS software modifications shall be completed within ±20% of planned modification time; modification success rate (completed without incidents) shall be ≥ 95%;</t>
  </si>
  <si>
    <t>X = Σ{Σ(Aij/Bij)/ni}/mAij = Actual time for j-th modification of type iBij = Expected time for j-th modification of type im = Number of modification typesn = Number of modifications per type</t>
  </si>
  <si>
    <t>1. Modification efficiency ratio 0.80 ≤ X ≤ 1.20 (within ±20% of expected time); 2. Modification capability X ≥ 0.95; 3. 0 unmanaged safety-critical regressions introduced by modification</t>
  </si>
  <si>
    <t>1. Change impact analysis review; 2. Regression test suite execution after modification; 3. Modification time tracking and comparison against plan; 4. Configuration management audit</t>
  </si>
  <si>
    <t>112</t>
  </si>
  <si>
    <t>ADAS-MMd-002-G</t>
  </si>
  <si>
    <t>Modification capability</t>
  </si>
  <si>
    <t>X = A/BA = Number of modifications successfully completed within specified duration without incidentsB = Total number of modifications made</t>
  </si>
  <si>
    <t>113</t>
  </si>
  <si>
    <t>Testability</t>
  </si>
  <si>
    <t>ADAS-MTe-001-G</t>
  </si>
  <si>
    <t>Test function completeness</t>
  </si>
  <si>
    <t>When ADAS software is verified and validated, the system shall provide sufficient test function coverage, code coverage, and test infrastructure support to enable thorough and efficient testing at all development phases.</t>
  </si>
  <si>
    <t>ADAS software shall achieve ≥ 90% MC/DC code coverage for ASIL-C/D components and ≥ 80% branch coverage for ASIL-A/B components; test case execution coverage shall be ≥ 95%; test pass rate shall be ≥ 98% at final release.</t>
  </si>
  <si>
    <t>X = A/BA = Number of test functions implemented as specifiedB = Number of test functions specified</t>
  </si>
  <si>
    <t>Test function completeness X ≥ 0.95; MC/DC code coverage ≥ 90% for ASIL-C/D (PASS), &lt; 80% (FAIL); test case execution coverage X ≥ 0.95; test case pass rate X ≥ 0.98; testable dependency X ≥ 0.90</t>
  </si>
  <si>
    <t>1. Code coverage measurement (MC/DC analysis tool); 2. Test case traceability to requirements; 3. SiL/HiL test execution report; 4. Test pass rate trend analysis.</t>
  </si>
  <si>
    <t>Plan how Testability will be managed. Define scope, owner, standards, analysis method, verification level and expected evidence. Focus: Test criteria, automated regression and repeatable evidence can prove release quality.</t>
  </si>
  <si>
    <t>Test strategy; automation plan; test environment plan; regression evidence management plan</t>
  </si>
  <si>
    <t>Check that Testability is converted into explicit quality requirements with measurable acceptance criteria, traceability and feasibility review. Focus: Test criteria, automated regression and repeatable evidence can prove release quality.</t>
  </si>
  <si>
    <t>Testability requirements; verification method definition; traceability and acceptance criteria for each quality requirement</t>
  </si>
  <si>
    <t>Check that architecture, detailed design, implementation and component level tests address Testability. Focus: Test criteria, automated regression and repeatable evidence can prove release quality.</t>
  </si>
  <si>
    <t>PASS if design and implementation are complete, reviewed, traceable to requirements and component tests pass with no open blocking defect. Automated regression assets must be version controlled and executable.</t>
  </si>
  <si>
    <t>Automated unit/component test report; coverage report; test script review; static analysis evidence</t>
  </si>
  <si>
    <t>Check that integrated software and platform configuration preserve Testability under realistic interfaces, timing, resource load and fault conditions. Focus: Test criteria, automated regression and repeatable evidence can prove release quality.</t>
  </si>
  <si>
    <t>Automated integration regression report; HIL/SIL test environment evidence; reproducible log and defect triage evidence</t>
  </si>
  <si>
    <t>Check final verification and validation evidence proves Testability for the release baseline and target configuration. Focus: Test criteria, automated regression and repeatable evidence can prove release quality.</t>
  </si>
  <si>
    <t>Final regression report; release test evidence package; test baseline and traceability matrix; reproducibility confirmation</t>
  </si>
  <si>
    <t>Check production and operation feedback, residual issues, field evidence and maintenance handover for Testability. Focus: Test criteria, automated regression and repeatable evidence can prove release quality.</t>
  </si>
  <si>
    <t>Archived test assets; maintenance regression package; test environment handover record; lessons learned</t>
  </si>
  <si>
    <t>114</t>
  </si>
  <si>
    <t>AIM-MTe-001-G</t>
  </si>
  <si>
    <t>AI model test scenario coverage (ODD × failure mode)</t>
  </si>
  <si>
    <t>When the AI model is verified and validated, the test suite shall provide sufficient coverage across the combination of ODD sub-scenarios and AI failure modes to demonstrate that all safety and performance requirements are met with high statistical confidence.</t>
  </si>
  <si>
    <t>AI model test scenario coverage X ≥ 0.90 across the (ODD × failure mode) matrix; all safety-critical combinations shall have at least one validated test case; statistical confidence of safety-critical performance claims ≥ 95%.</t>
  </si>
  <si>
    <t>X = A/BA = Number of (ODD sub-scenario × AI failure mode) combinations covered by test casesB = Total (ODD sub-scenario × AI failure mode) combinations in test specification</t>
  </si>
  <si>
    <t>Coverage X ≥ 0.90: PASS; X &lt; 0.80: FAILSafety-critical (ODD × failure mode) coverage = 100%: PASS; any gap: FAILStatistical confidence ≥ 95% for safety-critical claims: PASS; &lt; 90%: FAIL</t>
  </si>
  <si>
    <t>Test strategy; automation plan; test environment plan; regression evidence management plan; AI validation strategy; dataset and model governance plan; ODD scenario catalogue plan</t>
  </si>
  <si>
    <t>Testability requirements; verification method definition; traceability and acceptance criteria for each quality requirement; AI quality requirements; dataset requirement; ODD scenario catalogue; ground truth acceptance criteria</t>
  </si>
  <si>
    <t>Automated unit/component test report; coverage report; test script review; static analysis evidence; Model design or training configuration; dataset baseline record; model review; component verification report</t>
  </si>
  <si>
    <t>Automated integration regression report; HIL/SIL test environment evidence; reproducible log and defect triage evidence; AI component integration test report; interface and tensor contract verification; SIL or HIL logs with model version</t>
  </si>
  <si>
    <t>Final regression report; release test evidence package; test baseline and traceability matrix; reproducibility confirmation; Benchmark validation report; dataset card; ground truth QA record; model release baseline; residual risk approval</t>
  </si>
  <si>
    <t>Archived test assets; maintenance regression package; test environment handover record; lessons learned; Field performance monitoring report; distribution shift review; model/data change record; incident replay evidence</t>
  </si>
  <si>
    <t>115</t>
  </si>
  <si>
    <t>ADAS-MTe-002-G</t>
  </si>
  <si>
    <t>Code coverage</t>
  </si>
  <si>
    <t>X = A/BA = Number of unique code structural elements covered by test casesB = Number of unique code structural elements in the product's code</t>
  </si>
  <si>
    <t>116</t>
  </si>
  <si>
    <t>ADAS-MTe-003-G</t>
  </si>
  <si>
    <t>Testable dependency</t>
  </si>
  <si>
    <t>X = A/BA = Number of tests that can be simulated by stub among tests depending on other productsB = Number of tests which depend on other products</t>
  </si>
  <si>
    <t>117</t>
  </si>
  <si>
    <t>ADAS-MTe-004-G</t>
  </si>
  <si>
    <t>Test restartability</t>
  </si>
  <si>
    <t>X = A/BA = Number of cases in which testers can pause and restart test runs at desired pointsB = Number of cases in which executing test run can be paused</t>
  </si>
  <si>
    <t>118</t>
  </si>
  <si>
    <t>ADAS-MTe-005-G</t>
  </si>
  <si>
    <t>Test coverage</t>
  </si>
  <si>
    <t>X = A/BA = Number of test cases that actually cover the requirementsB = Number of test cases required to cover requirements</t>
  </si>
  <si>
    <t>119</t>
  </si>
  <si>
    <t>ADAS-MTe-006-G</t>
  </si>
  <si>
    <t>Test case execution coverage</t>
  </si>
  <si>
    <t>X = A/BA = Number of test cases executedB = Total number of test cases designed</t>
  </si>
  <si>
    <t>120</t>
  </si>
  <si>
    <t>ADAS-MTe-007-G</t>
  </si>
  <si>
    <t>Test case pass rate</t>
  </si>
  <si>
    <t>X = A/BA = Number of test cases passedB = Total number of test cases executed</t>
  </si>
  <si>
    <t>121</t>
  </si>
  <si>
    <t>Flexibility</t>
  </si>
  <si>
    <t>Adaptability</t>
  </si>
  <si>
    <t>ADAS-FAd-001-G</t>
  </si>
  <si>
    <t>Hardware environmental adaptability</t>
  </si>
  <si>
    <t>When the ADAS product is deployed in different hardware environments (different SoC generations, sensor configurations) or different vehicle platforms (sedan, SUV, truck), all specified ADAS functions shall operate correctly without requiring fundamental re-design.</t>
  </si>
  <si>
    <t>The ADAS product shall achieve ≥ 95% functional success rate across all specified hardware and system software environments.</t>
  </si>
  <si>
    <t>X = 1 - A/BA = Number of functions not completed or failed in different hardware environmentsB = Number of functions tested in different hardware environments</t>
  </si>
  <si>
    <t>1. Hardware adaptability X ≥ 0.95; 2. System software adaptability X ≥ 0.95; 3. Operational environment adaptability X ≥ 0.95; 4. 0 critical platform-specific functional failures at release</t>
  </si>
  <si>
    <t>1. Cross-platform integration test (all target hardware variants); 2. Environment simulation test (temperature, voltage, electromagnetic environment); 3. ODD boundary adaptability test</t>
  </si>
  <si>
    <t>122</t>
  </si>
  <si>
    <t>ADAS-FAd-002-G</t>
  </si>
  <si>
    <t>System software environmental adaptability</t>
  </si>
  <si>
    <t>X = 1 - A/BA = Number of functions not completed or failed in different system software environmentsB = Number of functions tested in different system software environments</t>
  </si>
  <si>
    <t>123</t>
  </si>
  <si>
    <t>ADAS-FAd-003-G</t>
  </si>
  <si>
    <t>Operational environment adaptability</t>
  </si>
  <si>
    <t>X = 1 - A/BA = Number of functions not completed or failed in different operational environmentsB = Number of functions tested in different operational environments</t>
  </si>
  <si>
    <t>124</t>
  </si>
  <si>
    <t>Scalability</t>
  </si>
  <si>
    <t>ADAS-FSc-001-G</t>
  </si>
  <si>
    <t>Scalability scale-out</t>
  </si>
  <si>
    <t>When the ADAS product needs to scale to support additional sensor inputs, increased object tracking capacity, or additional ADAS features, the system architecture shall support scale-out and scale-up without architectural redesign.</t>
  </si>
  <si>
    <t>The ADAS system architecture shall support addition of new sensor channels (scale-out) and increased processing resources (scale-up) with ≥ 95% of configured resources available automatically; new ADAS features shall be deployable via OTA without hardware change.</t>
  </si>
  <si>
    <t>X = A/BA = Number of resources available automatically and immediatelyB = Number of configured resources</t>
  </si>
  <si>
    <t>Scale-out resource availability X ≥ 0.95; scale-up resource availability X ≥ 0.95; OTA-deployable feature success rate = 100% for defined use cases; no unplanned architectural redesign required for specified scalability scenarios</t>
  </si>
  <si>
    <t>1. Scalability architecture review; 2. OTA feature deployment test (add new ADAS function via OTA); 3. Resource scaling test (add sensor channel, increase processing allocation); 4. Load scalability test</t>
  </si>
  <si>
    <t>125</t>
  </si>
  <si>
    <t>ADAS-FSc-002-G</t>
  </si>
  <si>
    <t>Scalability scale-up</t>
  </si>
  <si>
    <t>X = A/BA = Amount of resources available automatically and immediatelyB = Amount of configured resources</t>
  </si>
  <si>
    <t>126</t>
  </si>
  <si>
    <t>Installability</t>
  </si>
  <si>
    <t>ADAS-FIn-001-G</t>
  </si>
  <si>
    <t>Installation time efficiency</t>
  </si>
  <si>
    <t>When the ADAS product is installed on a vehicle (initial EOL installation or field replacement), the installation process shall be completed within the defined time budget and allow appropriate customization of installation parameters.</t>
  </si>
  <si>
    <t>ADAS ECU installation shall be completed within the OEM-specified installation time budget (e.g., ≤ 30 minutes for EOL flashing + calibration); installation customization (sensor mounting angle input, vehicle variant selection) shall succeed in ≥ 95% of attempts.</t>
  </si>
  <si>
    <t>X = Σ(Ai/Bi)/nAi = Total work time spent for installation iBi = Expected time for installation in = Number of installations measured</t>
  </si>
  <si>
    <t>Installation time efficiency ratio X ≤ 1.2 (within 120% of expected time); installation customization success rate X ≥ 0.95; 0 critical installation failures at OEM production line; remote installation via OTA succeeds in ≥ 99% of attempts</t>
  </si>
  <si>
    <t>V&amp;V</t>
  </si>
  <si>
    <t>1. EOL installation time measurement; 2. Installation customization functional test; 3. OTA remote installation test (all target vehicle variants); 4. Production-line installation audit</t>
  </si>
  <si>
    <t>127</t>
  </si>
  <si>
    <t>ADAS-FIn-002-G</t>
  </si>
  <si>
    <t>Installation customizability</t>
  </si>
  <si>
    <t>X = A/BA = Number of cases where user succeeds in customizing installation procedureB = Number of cases where user attempted to customize installation procedure</t>
  </si>
  <si>
    <t>Analysis/Design, Implementation, V&amp;V, Operation</t>
  </si>
  <si>
    <t>128</t>
  </si>
  <si>
    <t>Replaceability</t>
  </si>
  <si>
    <t>ADAS-FRe-001-G</t>
  </si>
  <si>
    <t>Usage similarity</t>
  </si>
  <si>
    <t>When the ADAS product replaces a previous ADAS system version, existing driver workflows, data, and learned behaviors shall be preserved or migrated to the new system with minimal disruption to the driver.</t>
  </si>
  <si>
    <t>The new ADAS product version shall support ≥ 90% of the user functions of the replaced version without additional learning; all driver preference data and personalization settings shall be migrated without loss.</t>
  </si>
  <si>
    <t>X = A/BA = Number of user functions that can be performed without additional learning or workaroundB = Number of user functions in the replaced software product</t>
  </si>
  <si>
    <t>Usage similarity X ≥ 0.90; quality equivalence X ≥ 0.95 (new version at least as good as replaced); functional inclusiveness X ≥ 0.90; driver data migration success rate = 100% for specified data types</t>
  </si>
  <si>
    <t>1. Regression usability test with drivers from replaced system; 2. Data migration verification test; Feature parity review (new vs. replaced system); 3. Driver preference retention validation</t>
  </si>
  <si>
    <t>129</t>
  </si>
  <si>
    <t>ADAS-FRe-002-G</t>
  </si>
  <si>
    <t>Product quality equivalence</t>
  </si>
  <si>
    <t>X = A/BA = Number of quality measures of new product that are better or equal to replaced productB = Number of quality measures of replaced product that are relevant</t>
  </si>
  <si>
    <t>130</t>
  </si>
  <si>
    <t>ADAS-FRe-003-G</t>
  </si>
  <si>
    <t>Functional inclusiveness</t>
  </si>
  <si>
    <t>X = A/BA = Number of similar functions that can be easily used in the replaced productB = Number of similar functions which have to be used in the replaced product</t>
  </si>
  <si>
    <t>131</t>
  </si>
  <si>
    <t>ADAS-FRe-004-G</t>
  </si>
  <si>
    <t>Ease of data use</t>
  </si>
  <si>
    <t>X = A/BA = Number of data items that can be used continuously as beforeB = Number of data items which have to be used continuously in the replaced product</t>
  </si>
  <si>
    <t>132</t>
  </si>
  <si>
    <t>Safety</t>
  </si>
  <si>
    <t>Operational Constraint</t>
  </si>
  <si>
    <t>ADAS-SOp-001-G</t>
  </si>
  <si>
    <t>Domain hazard coverage</t>
  </si>
  <si>
    <t>When the ADAS product operates at the boundaries of its defined ODD (weather limits, speed limits, road type limits), the system shall constrain its operation within safe parameters and transition to a minimum risk condition when ODD is exceeded.</t>
  </si>
  <si>
    <t>The ADAS product shall operate within specified safety constraints in 100% of tested operational domain hazard scenarios; when ODD boundaries are exceeded, the system shall initiate a controlled handover or MRC transition within 10 seconds.</t>
  </si>
  <si>
    <t>X = A/BA = Number of internal safety hazards in which the product operated within specified safety parametersB = Number of internal safety hazards tested</t>
  </si>
  <si>
    <t>ODD boundary violation handling success rate = 100%; MRC transition time ≤ 10 seconds for defined scenarios</t>
  </si>
  <si>
    <t>1. ODD boundary test (rain, fog, speed limit, road edge scenarios); 2. MRC transition timing measurement</t>
  </si>
  <si>
    <t>Plan how Operational constraint will be managed. Define scope, owner, standards, analysis method, verification level and expected evidence. Focus: Operation stays within ODD, physical, vehicle dynamics and legal constraints.</t>
  </si>
  <si>
    <t>Safety plan; applicable safety standard scope; initial hazard and ODD boundary concept</t>
  </si>
  <si>
    <t>Check that Operational constraint is converted into explicit quality requirements with measurable acceptance criteria, traceability and feasibility review. Focus: Operation stays within ODD, physical, vehicle dynamics and legal constraints.</t>
  </si>
  <si>
    <t>Safety requirements; hazard analysis linkage; safety acceptance criteria</t>
  </si>
  <si>
    <t>Check that architecture, detailed design, implementation and component level tests address Operational constraint. Focus: Operation stays within ODD, physical, vehicle dynamics and legal constraints.</t>
  </si>
  <si>
    <t>Safety design and implementation review; component safety test evidence</t>
  </si>
  <si>
    <t>Check that integrated software and platform configuration preserve Operational constraint under realistic interfaces, timing, resource load and fault conditions. Focus: Operation stays within ODD, physical, vehicle dynamics and legal constraints.</t>
  </si>
  <si>
    <t>Integrated safety test report; fault and boundary scenario logs</t>
  </si>
  <si>
    <t>Check final verification and validation evidence proves Operational constraint for the release baseline and target configuration. Focus: Operation stays within ODD, physical, vehicle dynamics and legal constraints.</t>
  </si>
  <si>
    <t>Safety case; final safety validation report; residual risk approval</t>
  </si>
  <si>
    <t>Check production and operation feedback, residual issues, field evidence and maintenance handover for Operational constraint. Focus: Operation stays within ODD, physical, vehicle dynamics and legal constraints.</t>
  </si>
  <si>
    <t>Field safety issue log; corrective action and lessons learned evidence</t>
  </si>
  <si>
    <t>133</t>
  </si>
  <si>
    <t>ADAS-SOp-002-G</t>
  </si>
  <si>
    <t>Coverage of successful behaviours to treat domain hazards</t>
  </si>
  <si>
    <t>X = A/BA = Number of operational safety hazards in which product operated within specified safety parametersB = Number of operational safety hazards tested</t>
  </si>
  <si>
    <t>134</t>
  </si>
  <si>
    <t>ADAS-SOp-003-G</t>
  </si>
  <si>
    <t>Operational domain coverage</t>
  </si>
  <si>
    <t>X = A/BA = Number of potential hazards addressed in the operational domainB = Number of potential hazards in the operational domain</t>
  </si>
  <si>
    <t>135</t>
  </si>
  <si>
    <t>ADAS-SOp-004-G</t>
  </si>
  <si>
    <t>Coverage of successful behaviours to treat hazards in the operational domain</t>
  </si>
  <si>
    <t>X = 1 - A/BA = Number of operation scenarios in which product failed to treat potential hazardsB = Number of operation scenarios corresponding to identified potential hazards</t>
  </si>
  <si>
    <t>136</t>
  </si>
  <si>
    <t>AIM-Ope-001-G</t>
  </si>
  <si>
    <t>AI model ODD boundary enforcement</t>
  </si>
  <si>
    <t>When the AI model detects that current conditions are at or beyond its validated ODD boundary (extreme weather, unmapped road, sensor degradation beyond threshold), it shall enforce operational constraints by reducing output confidence, triggering a take-over request, or activating safe degradation — not silently continuing unreliable inference.</t>
  </si>
  <si>
    <t>ODD boundary enforcement rate X ≥ 0.99; ODD boundary detection latency ≤ 2 inference cycles (≤ 100 ms); undetected ODD boundary violations resulting in unsafe AI output = 0.</t>
  </si>
  <si>
    <t>X = A/BA = Number of ODD boundary conditions in which AI correctly constrains output or triggers handoverB = Total ODD boundary conditions tested</t>
  </si>
  <si>
    <t>X ≥ 0.99: PASS; X &lt; 0.95: FAILODD boundary detection latency ≤ 100 ms: PASS; &gt; 200 ms: FAILUndetected ODD violation with unsafe output = 0: PASS; ≥ 1: FAIL</t>
  </si>
  <si>
    <t>Safety plan; applicable safety standard scope; initial hazard and ODD boundary concept; AI validation strategy; dataset and model governance plan; ODD scenario catalogue plan</t>
  </si>
  <si>
    <t>Safety requirements; hazard analysis linkage; safety acceptance criteria; AI quality requirements; dataset requirement; ODD scenario catalogue; ground truth acceptance criteria</t>
  </si>
  <si>
    <t>Safety design and implementation review; component safety test evidence; Model design or training configuration; dataset baseline record; model review; component verification report</t>
  </si>
  <si>
    <t>Integrated safety test report; fault and boundary scenario logs; AI component integration test report; interface and tensor contract verification; SIL or HIL logs with model version</t>
  </si>
  <si>
    <t>Safety case; final safety validation report; residual risk approval; Benchmark validation report; dataset card; ground truth QA record; model release baseline; residual risk approval</t>
  </si>
  <si>
    <t>Field safety issue log; corrective action and lessons learned evidence; Field performance monitoring report; distribution shift review; model/data change record; incident replay evidence</t>
  </si>
  <si>
    <t>137</t>
  </si>
  <si>
    <t>Risk Identification</t>
  </si>
  <si>
    <t>ADAS-SRi-001-G</t>
  </si>
  <si>
    <t>Risk identification coverage</t>
  </si>
  <si>
    <t>When developing and validating the ADAS product, all potential safety risks and hazardous scenarios shall be systematically identified, assessed, and verified as mitigated through the defined risk management process.</t>
  </si>
  <si>
    <t>The ADAS product risk identification process shall cover 100% of specified risk scenarios; the risk coverage rate (test cases to risk scenarios) shall be ≥ 95%; the level of safety risk shall not exceed the residual risk acceptance criteria per ISO 26262/ISO 21448.</t>
  </si>
  <si>
    <t>X = A/BA = Number of risk scenarios identified as test cases for the productB = Number of specified risk scenarios where risks could occur</t>
  </si>
  <si>
    <t>PASS: 100% of identified safety-relevant hazardous scenarios are captured in HARA or risk analysis; risk-based test coverage X ≥ 0.95 for the defined verification scope; all residual risks meet accepted criteria. MARGINAL: 0.90 ≤ X &lt; 0.95 only for non-safety or deferred scenarios with approved safety case rationale. FAIL: any missing safety-relevant hazardous scenario, any residual risk above acceptance criteria, or X &lt; 0.90.</t>
  </si>
  <si>
    <t>1.ISO 26262 &amp; ISO21448 HARA review2. Safety case review; 3. Risk-based test case coverage audit; 4.Residual risk acceptance committee review</t>
  </si>
  <si>
    <t>Plan how Risk identification will be managed. Define scope, owner, standards, analysis method, verification level and expected evidence. Focus: Hazardous course of events and unacceptable risks are identified in time.</t>
  </si>
  <si>
    <t>Check that Risk identification is converted into explicit quality requirements with measurable acceptance criteria, traceability and feasibility review. Focus: Hazardous course of events and unacceptable risks are identified in time.</t>
  </si>
  <si>
    <t>Check that architecture, detailed design, implementation and component level tests address Risk identification. Focus: Hazardous course of events and unacceptable risks are identified in time.</t>
  </si>
  <si>
    <t>Check that integrated software and platform configuration preserve Risk identification under realistic interfaces, timing, resource load and fault conditions. Focus: Hazardous course of events and unacceptable risks are identified in time.</t>
  </si>
  <si>
    <t>Check final verification and validation evidence proves Risk identification for the release baseline and target configuration. Focus: Hazardous course of events and unacceptable risks are identified in time.</t>
  </si>
  <si>
    <t>Check production and operation feedback, residual issues, field evidence and maintenance handover for Risk identification. Focus: Hazardous course of events and unacceptable risks are identified in time.</t>
  </si>
  <si>
    <t>138</t>
  </si>
  <si>
    <t>AIM-SRi-001-G</t>
  </si>
  <si>
    <t>AI model Out-of-Distribution (OOD) detection coverage</t>
  </si>
  <si>
    <t>When the AI model receives inputs outside its training distribution (unknown objects, extreme weather, novel road layouts), it shall detect and flag the OOD condition to the safety supervisory layer to prevent unsafe reliance on unreliable AI outputs.</t>
  </si>
  <si>
    <t>OOD detection coverage X ≥ 0.90 across all defined OOD test categories; OOD detection latency ≤ 1 inference cycle (≤ 50 ms); false positive OOD rate (flagging in-distribution inputs as OOD) ≤ 5%.</t>
  </si>
  <si>
    <t>X = A/BA = Number of OOD input scenarios correctly detected and flaggedB = Total OOD input scenarios tested</t>
  </si>
  <si>
    <t>OOD detection coverage X ≥ 0.90: PASS; X &lt; 0.80: FAILOOD detection latency ≤ 50 ms: PASS; &gt; 100 ms: FAILFalse positive OOD rate ≤ 5%: PASS; &gt; 10%: FAIL</t>
  </si>
  <si>
    <t>139</t>
  </si>
  <si>
    <t>ADAS-SRi-002-G</t>
  </si>
  <si>
    <t>Coverage of successful behaviours to handle risks of product operation</t>
  </si>
  <si>
    <t>X = 1 - A/BA = Number of risk scenarios of operation that failed to be handledB = Number of specified risk scenarios where identified risks potentially occur</t>
  </si>
  <si>
    <t>140</t>
  </si>
  <si>
    <t>ADAS-SRi-003-G</t>
  </si>
  <si>
    <t>Level of safety risk</t>
  </si>
  <si>
    <t>X = (1/n) Σ(Ai · Bi)Ai = Impact of the i-th riskBi = Likelihood of the i-th riskn = Total number of risks in the specific scenario</t>
  </si>
  <si>
    <t>141</t>
  </si>
  <si>
    <t>ADAS-SRi-004-G</t>
  </si>
  <si>
    <t>Maximum level of safety risk</t>
  </si>
  <si>
    <t>X = Σ(Max(Ai1, Ai2, ..., Aik))/nAin = Risk rating for risk k in scenario ik = Number of risks in i-th scenarion = Number of scenarios</t>
  </si>
  <si>
    <t>142</t>
  </si>
  <si>
    <t>Fail Safe</t>
  </si>
  <si>
    <t>ADAS-SFa-001-G</t>
  </si>
  <si>
    <t>Malfunction recoverability</t>
  </si>
  <si>
    <t>When the ADAS product encounters a malfunction or system failure, the system shall automatically and reliably transition to a predefined safe state (minimum risk condition) that prevents harm to the vehicle occupants and other road users.</t>
  </si>
  <si>
    <t>The ADAS product shall achieve automatic transition to a safe state in 100% of specified risk scenarios; no safe state transition shall itself cause a secondary hazard.</t>
  </si>
  <si>
    <t>X = A/BA = Number of risk scenarios in which product automatically transitions to safe modeB = Number of specified risk scenarios</t>
  </si>
  <si>
    <t>Malfunction recoverability (fail-safe activation) X = 1.0 (100% of risk scenarios); secondary hazard from safe state transition = 0</t>
  </si>
  <si>
    <t>Operation</t>
  </si>
  <si>
    <t>1. Fault injection test; 2. Safety assurance argument review</t>
  </si>
  <si>
    <t>Plan how Fail safe will be managed. Define scope, owner, standards, analysis method, verification level and expected evidence. Focus: Failure or implausible input leads to bounded degradation, takeover, exit or safe state.</t>
  </si>
  <si>
    <t>Check that Fail safe is converted into explicit quality requirements with measurable acceptance criteria, traceability and feasibility review. Focus: Failure or implausible input leads to bounded degradation, takeover, exit or safe state.</t>
  </si>
  <si>
    <t>Check that architecture, detailed design, implementation and component level tests address Fail safe. Focus: Failure or implausible input leads to bounded degradation, takeover, exit or safe state.</t>
  </si>
  <si>
    <t>Check that integrated software and platform configuration preserve Fail safe under realistic interfaces, timing, resource load and fault conditions. Focus: Failure or implausible input leads to bounded degradation, takeover, exit or safe state.</t>
  </si>
  <si>
    <t>Check final verification and validation evidence proves Fail safe for the release baseline and target configuration. Focus: Failure or implausible input leads to bounded degradation, takeover, exit or safe state.</t>
  </si>
  <si>
    <t>Check production and operation feedback, residual issues, field evidence and maintenance handover for Fail safe. Focus: Failure or implausible input leads to bounded degradation, takeover, exit or safe state.</t>
  </si>
  <si>
    <t>143</t>
  </si>
  <si>
    <t>AIM-SFa-001-G</t>
  </si>
  <si>
    <t>AI model safe degradation activation rate</t>
  </si>
  <si>
    <t>When the AI model detects or is informed of a critical failure condition (confidence collapse, OOD input, hardware fault, severe performance degradation), the system shall automatically activate a predefined safe degradation mode that transitions ADAS to a minimum risk condition without causing secondary hazards.</t>
  </si>
  <si>
    <t>Safe degradation activation rate X = 1.0 (100% of defined critical AI failure scenarios); transition to safe degradation mode within 100 ms of failure detection; degraded mode shall maintain at minimum emergency braking capability.</t>
  </si>
  <si>
    <t>X = A/BA = Number of critical AI failure scenarios in which safe degradation mode automatically activatesB = Total defined critical AI failure scenarios</t>
  </si>
  <si>
    <t>Safe degradation activation X = 1.0: PASS; any missed activation on critical scenario: FAILTransition time ≤ 100 ms: PASS; &gt; 200 ms: FAILEmergency braking available in degraded mode: PASS; not available: FAIL</t>
  </si>
  <si>
    <t>144</t>
  </si>
  <si>
    <t>Hazard Warning</t>
  </si>
  <si>
    <t>ADAS-SHa-001-G</t>
  </si>
  <si>
    <t>Hazard warning responsiveness</t>
  </si>
  <si>
    <t>When the ADAS product detects an imminent hazard or system anomaly, it shall provide timely and perceivable warnings to the driver within the specified safe time frame to enable corrective action before a safety-critical event occurs.</t>
  </si>
  <si>
    <t>The ADAS product shall issue hazard warnings to the driver within the Safe Time To React, specified for each hazard scenario; all required warnings shall be provided with ≥ 99% reliability.</t>
  </si>
  <si>
    <t>X = A/BA = Number of warnings provided within the specified safe time frameB = Number of warnings expected to be provided within the specified time frame</t>
  </si>
  <si>
    <t>Warning responsiveness X ≥ 0.99 (≥99% of warnings within specified time frame); 0 missed critical hazard warnings in validation testing</t>
  </si>
  <si>
    <t>1. Hazard warning timing test; 2. Human factors evaluation of warning salience.</t>
  </si>
  <si>
    <t>Plan how Hazard warning will be managed. Define scope, owner, standards, analysis method, verification level and expected evidence. Focus: Warnings, diagnostic states or takeover requests are provided with sufficient timing.</t>
  </si>
  <si>
    <t>Check that Hazard warning is converted into explicit quality requirements with measurable acceptance criteria, traceability and feasibility review. Focus: Warnings, diagnostic states or takeover requests are provided with sufficient timing.</t>
  </si>
  <si>
    <t>Check that architecture, detailed design, implementation and component level tests address Hazard warning. Focus: Warnings, diagnostic states or takeover requests are provided with sufficient timing.</t>
  </si>
  <si>
    <t>Check that integrated software and platform configuration preserve Hazard warning under realistic interfaces, timing, resource load and fault conditions. Focus: Warnings, diagnostic states or takeover requests are provided with sufficient timing.</t>
  </si>
  <si>
    <t>Check final verification and validation evidence proves Hazard warning for the release baseline and target configuration. Focus: Warnings, diagnostic states or takeover requests are provided with sufficient timing.</t>
  </si>
  <si>
    <t>Check production and operation feedback, residual issues, field evidence and maintenance handover for Hazard warning. Focus: Warnings, diagnostic states or takeover requests are provided with sufficient timing.</t>
  </si>
  <si>
    <t>145</t>
  </si>
  <si>
    <t>Safe Integration</t>
  </si>
  <si>
    <t>ADAS-SSi-001-G</t>
  </si>
  <si>
    <t>System safety integration</t>
  </si>
  <si>
    <t>When the ADAS product is integrated into the vehicle system, all ADAS safety-related functions shall successfully pass integration-level safety testing without introducing new hazards or violating system-level ASIL integrity requirements.</t>
  </si>
  <si>
    <t>100% of safety-related ADAS functions shall pass system-level safety integration testing as defined in the Safety Plan; no ASIL integrity violations shall be introduced at the vehicle integration level; system safety goals shall be demonstrably satisfied.</t>
  </si>
  <si>
    <t>X = A/BA = Number of safety-related functions that successfully pass safety related testing when applied to integrated systemB = Total number of safety-related functions in the specified product when applied to integrated system</t>
  </si>
  <si>
    <t>System safety integration X = 1.0 (100% of safety-related functions pass integration safety test); ASIL integrity violation = 0; all safety goals confirmed satisfied in safety case; system-level FMEA defects: 0 open critical items at release</t>
  </si>
  <si>
    <t>Vehicle-level Safety Integration Test (SiL/HiL/Vehicle); ISO 26262 system integration safety test; ASIL integrity confirmation review; Safety case confirmation review; Type approval safety test (e.g., UN R155/R156)</t>
  </si>
  <si>
    <t>Plan how Safe integration will be managed. Define scope, owner, standards, analysis method, verification level and expected evidence. Focus: Safety is preserved during and after integration with other components.</t>
  </si>
  <si>
    <t>Check that Safe integration is converted into explicit quality requirements with measurable acceptance criteria, traceability and feasibility review. Focus: Safety is preserved during and after integration with other components.</t>
  </si>
  <si>
    <t>Check that architecture, detailed design, implementation and component level tests address Safe integration. Focus: Safety is preserved during and after integration with other components.</t>
  </si>
  <si>
    <t>Check that integrated software and platform configuration preserve Safe integration under realistic interfaces, timing, resource load and fault conditions. Focus: Safety is preserved during and after integration with other components.</t>
  </si>
  <si>
    <t>Check final verification and validation evidence proves Safe integration for the release baseline and target configuration. Focus: Safety is preserved during and after integration with other components.</t>
  </si>
  <si>
    <t>Check production and operation feedback, residual issues, field evidence and maintenance handover for Safe integration. Focus: Safety is preserved during and after integration with other components.</t>
  </si>
  <si>
    <t>146</t>
  </si>
  <si>
    <t>Quality in Use</t>
  </si>
  <si>
    <t>Effectiveness</t>
  </si>
  <si>
    <t>ADAS-Ef-001-G</t>
  </si>
  <si>
    <t>Tasks completed</t>
  </si>
  <si>
    <t>When drivers use the ADAS product in representative driving scenarios (highway, urban, parking), they shall be able to complete all specified driving-related tasks with ADAS assistance at a high success rate and with minimal errors.</t>
  </si>
  <si>
    <t>Drivers shall complete ≥ 90% of specified ADAS-assisted driving tasks successfully; error rate per task shall be ≤ 0.5 errors on average; tasks with errors shall not exceed 10% of all task attempts in a usability study.</t>
  </si>
  <si>
    <t>X = A/BA = Number of unique tasks completedB = Total number of unique tasks attempted</t>
  </si>
  <si>
    <t>Task completion rate X ≥ 0.90 (PASS), &lt; 0.75 (FAIL); mean errors per task ≤ 0.5; tasks with errors X ≤ 0.10; task error intensity (proportion of users making errors) ≤ 20%</t>
  </si>
  <si>
    <t>Driver usability test (representative sample, ≥ 30 participants); Closed-course task completion study; Naturalistic Driving Study task analysis; ADAS-assisted task error logging</t>
  </si>
  <si>
    <t>147</t>
  </si>
  <si>
    <t>ADAS-Ef-001-S</t>
  </si>
  <si>
    <t>Objectives achieved</t>
  </si>
  <si>
    <t>The ADAS product shall enable intended users to achieve the defined driving assistance, safety support, and operational objectives in the specified context of use, without introducing unacceptable misuse, confusion, or safety risk.</t>
  </si>
  <si>
    <t>{X = 1-ΣAi | X≥0}Ai = Proportional value of each  missing or incorrect objective in the task output (maximum value = 1)</t>
  </si>
  <si>
    <t>PASS: X ≥ 0.95 for safety-relevant and customer-committed task objectives; MARGINAL: 0.90 ≤ X &lt; 0.95 only for non-safety objectives with approved deviation. FAIL: X &lt; 0.90 or any missed or incorrect safety-relevant objective.</t>
  </si>
  <si>
    <t>148</t>
  </si>
  <si>
    <t>ADAS-Ef-002-G</t>
  </si>
  <si>
    <t>Errors in a task</t>
  </si>
  <si>
    <t>X = AA = Number of errors made by the user during a task</t>
  </si>
  <si>
    <t>149</t>
  </si>
  <si>
    <t>ADAS-Ef-003-G</t>
  </si>
  <si>
    <t>Tasks with errors</t>
  </si>
  <si>
    <t>X = A/BA = Number of tasks with errorsB = Total number of tasks</t>
  </si>
  <si>
    <t>150</t>
  </si>
  <si>
    <t>ADAS-Ef-004-G</t>
  </si>
  <si>
    <t>Task error intensity</t>
  </si>
  <si>
    <t>X = A/BA = Number of users making an errorB= Total number of users performing the task</t>
  </si>
  <si>
    <t>151</t>
  </si>
  <si>
    <t>Efficiency</t>
  </si>
  <si>
    <t>ADAS-Ey-001-G</t>
  </si>
  <si>
    <t>Task time</t>
  </si>
  <si>
    <t>When drivers use the ADAS product to complete driving tasks, the time and effort required to accomplish tasks with ADAS assistance shall be equal to or less than the time required without ADAS assistance, demonstrating efficiency improvement.</t>
  </si>
  <si>
    <t>Task completion time with ADAS assistance shall be ≤ 90% of baseline task time without ADAS; time efficiency (objectives achieved per unit time) shall demonstrate measurable improvement over non-ADAS baseline in controlled study.</t>
  </si>
  <si>
    <t>X = TT = Task time</t>
  </si>
  <si>
    <t>Task time X ≤ 0.90 × baseline; time efficiency X &gt; 1.0 (improvement over baseline); unnecessary actions ratio X ≤ 0.10; productive time ratio X ≥ 0.80; fatigue consequence X ≤ 0.20 degradation in extended use</t>
  </si>
  <si>
    <t>Controlled driving efficiency study (with/without ADAS comparison); Task time measurement (stopwatch / video analysis); Workload assessment (NASA-TLX questionnaire); Driver fatigue monitoring (physiological measures in extended sessions)</t>
  </si>
  <si>
    <t>152</t>
  </si>
  <si>
    <t>ADAS-Ey-001-S</t>
  </si>
  <si>
    <t>Time efficiency</t>
  </si>
  <si>
    <t>The ADAS product shall allow intended users to complete representative ADAS-related tasks within the project-defined time-efficiency targets under the specified context of use, without excessive driver distraction or workload.</t>
  </si>
  <si>
    <t>X = A/TA  = Number of objectives achievedT = Time</t>
  </si>
  <si>
    <t>PASS: X meets or exceeds the project-defined task efficiency target for each representative driving or HMI task, and no safety-relevant task exceeds the maximum allowed completion time. MARGINAL: within 10% below target for non-safety tasks with improvement action. FAIL: more than 10% below target or any safety-relevant timing target missed.</t>
  </si>
  <si>
    <t>153</t>
  </si>
  <si>
    <t>ADAS-Ey-002-S</t>
  </si>
  <si>
    <t>Cost-effectiveness</t>
  </si>
  <si>
    <t>The ADAS product shall achieve the approved cost-effectiveness targets for intended quality-in-use objectives, while maintaining compliance with safety, cybersecurity, regulatory, and customer quality requirements.</t>
  </si>
  <si>
    <t>X = A/BA = Total cost of carrying out the taskB = Number of objectives achieved</t>
  </si>
  <si>
    <t>PASS: X is less than or equal to the approved cost-per-achieved-objective target while meeting all safety and quality constraints. MARGINAL: X exceeds target by ≤10% with approved business rationale. FAIL: X exceeds target by &gt;10% or cost reduction causes unresolved safety, quality, or compliance risk.</t>
  </si>
  <si>
    <t>154</t>
  </si>
  <si>
    <t>ADAS-Ey-003-S</t>
  </si>
  <si>
    <t>Productive time ratio</t>
  </si>
  <si>
    <t>The ADAS product shall maximize productive user interaction time by minimizing unnecessary HMI steps, repeated actions, and avoidable waiting time during representative ADAS tasks.</t>
  </si>
  <si>
    <t>X = Ta/TbTa = Productive time = time taken to complete the task - time spent getting help or assistance - time taken recovering from errors - time taken searching ineffectuallyTb = Task time</t>
  </si>
  <si>
    <t>PASS: X ≥ 0.85 for representative user tasks and X ≥ 0.95 for safety-relevant tasks. MARGINAL: 0.75 ≤ X &lt; 0.85 with usability improvement action. FAIL: X &lt; 0.75 or safety-relevant task execution is dominated by help-seeking, error recovery, or ineffective search.</t>
  </si>
  <si>
    <t>155</t>
  </si>
  <si>
    <t>ADAS-Ey-004-S</t>
  </si>
  <si>
    <t>Unnecessary actions</t>
  </si>
  <si>
    <t>The ADAS product shall minimize unnecessary user actions during representative ADAS tasks, especially for safety-relevant operations, driver takeover handling, mode selection, and fault recovery.</t>
  </si>
  <si>
    <t>X = A/BA = Number of actions actually that were not necessary to achieve the taskB = Number of actions performed by the user</t>
  </si>
  <si>
    <t>PASS: X ≤ 0.10 for representative user tasks and X = 0 for safety-critical driver tasks. MARGINAL: 0.10 &lt; X ≤ 0.20 for non-safety tasks with HMI improvement action. FAIL: X &gt; 0.20 or any unnecessary action contributes to unsafe, delayed, or confusing ADAS operation.</t>
  </si>
  <si>
    <t>156</t>
  </si>
  <si>
    <t>ADAS-Ey-005-S</t>
  </si>
  <si>
    <t>Consequences of fatigue</t>
  </si>
  <si>
    <t>The ADAS product shall limit degradation of user task performance caused by fatigue, prolonged driving, repeated alerts, or cognitive workload, and shall not create unacceptable driver distraction or automation complacency.</t>
  </si>
  <si>
    <t>X = 1 – A/BA = Current performanceB = Initial performance</t>
  </si>
  <si>
    <t>PASS: performance degradation due to fatigue remains within the approved human-factors limit and no safety-relevant task falls below the minimum acceptable performance threshold. MARGINAL: degradation exceeds target but remains within recoverable range with mitigation. FAIL: degradation causes unsafe operation, missed warning, or failure of a safety-relevant task.</t>
  </si>
  <si>
    <t>157</t>
  </si>
  <si>
    <t>General satisfaction</t>
  </si>
  <si>
    <t>ADAS-SUs-001-G</t>
  </si>
  <si>
    <t>Overall satisfaction</t>
  </si>
  <si>
    <t>When drivers use the ADAS product over an extended period, they shall report high overall satisfaction with the system's functionality, usability, and the overall driving experience it provides.</t>
  </si>
  <si>
    <t>Overall driver satisfaction score shall achieve a mean rating of ≥ 4.0 out of 5.0 (or equivalent) on a validated satisfaction questionnaire after 4 weeks of ADAS use in normal driving conditions.</t>
  </si>
  <si>
    <t>X = ∑AiAi = Response to a question</t>
  </si>
  <si>
    <t>Overall satisfaction score ≥ 4.0/5.0 (PASS), &lt; 3.0/5.0 (FAIL); satisfaction survey completion rate ≥ 80%; Net Promoter Score (NPS) ≥ 40</t>
  </si>
  <si>
    <t>Post-use satisfaction survey (validated questionnaire, e.g., SUS, UMUX); NPS survey; Focus group interview with drivers; Longitudinal satisfaction tracking (4-week diary study)</t>
  </si>
  <si>
    <t>158</t>
  </si>
  <si>
    <t>Usefulness</t>
  </si>
  <si>
    <t>ADAS-SUs-002-G</t>
  </si>
  <si>
    <t>Satisfaction with features</t>
  </si>
  <si>
    <t>When drivers have access to the ADAS product, they shall find the ADAS functions useful and use them regularly in applicable driving scenarios, demonstrating that the system delivers meaningful value in real-world driving.</t>
  </si>
  <si>
    <t>Feature utilization rate shall be ≥ 60% of applicable scenarios for primary ADAS functions (ACC, LKA, AEB); proportion of users complaining about usefulness shall be ≤ 5% of active users; discretionary usage rate shall be ≥ 70% for primary features.</t>
  </si>
  <si>
    <t>X = ∑AiAi = Response to a question related to a specific feature</t>
  </si>
  <si>
    <t>Feature utilization X ≥ 0.60; discretionary usage X ≥ 0.70; user complaint rate X ≤ 0.05; satisfaction with features score ≥ 3.8/5.0</t>
  </si>
  <si>
    <t>Feature usage telemetry analysis (anonymized OBD/telematics data); User complaint and feedback tracking; Feature satisfaction questionnaire; Discretionary usage survey</t>
  </si>
  <si>
    <t>159</t>
  </si>
  <si>
    <t>ADAS-SUs-003-G</t>
  </si>
  <si>
    <t>Discretionary usage</t>
  </si>
  <si>
    <t>X = A/BA = Number of users using a specific function, application or systemB = Number of potential users who could have used the specific function, application, or system</t>
  </si>
  <si>
    <t>160</t>
  </si>
  <si>
    <t>ADAS-SUs-004-G</t>
  </si>
  <si>
    <t>Feature utilisation</t>
  </si>
  <si>
    <t>X = A/BA = Number of users using a particular featureB = Number of users in an identified set of users of the system</t>
  </si>
  <si>
    <t>161</t>
  </si>
  <si>
    <t>ADAS-SUs-005-G</t>
  </si>
  <si>
    <t>Proportion of users complaining</t>
  </si>
  <si>
    <t>X = A/BA = Number of users complainingB = Number of users using the system</t>
  </si>
  <si>
    <t>162</t>
  </si>
  <si>
    <t>ADAS-SUs-006-G</t>
  </si>
  <si>
    <t>Proportion of user complaints about a particular feature</t>
  </si>
  <si>
    <t>X = A/BA = Number of user complaints for a particular featureB = Total number of user complaints about features</t>
  </si>
  <si>
    <t>163</t>
  </si>
  <si>
    <t>Trust</t>
  </si>
  <si>
    <t>ADAS-STr-001-G</t>
  </si>
  <si>
    <t>User trust</t>
  </si>
  <si>
    <t>When drivers use the ADAS product over time, they shall develop and maintain an appropriate level of trust in the system — neither over-trusting (automation complacency) nor under-trusting (rejecting beneficial ADAS functions).</t>
  </si>
  <si>
    <t>Driver trust score on the validated trust questionnaire (e.g., Trust in Automation Scale) shall achieve a mean of ≥ 3.8/5.0; over-trust (automation complacency) incidents shall be &lt; 2% of monitored driving sessions.</t>
  </si>
  <si>
    <t>X = AA = Psychometric scale value from a trust questionnaire</t>
  </si>
  <si>
    <t>User trust score ≥ 3.8/5.0 on validated scale (PASS), &lt; 2.5/5.0 (FAIL); automation complacency incident rate &lt; 2%; system deactivation due to distrust &lt; 10% of applicable scenarios</t>
  </si>
  <si>
    <t>Trust questionnaire (Trust in Automation Scale); Naturalistic Driving Study complacency monitoring; Take-over reaction time test; Longitudinal trust tracking (pre/post extended use)</t>
  </si>
  <si>
    <t>164</t>
  </si>
  <si>
    <t>Pleasure</t>
  </si>
  <si>
    <t>ADAS-SPl-001-G</t>
  </si>
  <si>
    <t>User pleasure</t>
  </si>
  <si>
    <t>When drivers use the ADAS product in daily driving, they shall experience a positive and enjoyable driving experience that adds perceived value to the ownership experience.</t>
  </si>
  <si>
    <t>Driver pleasure score on a validated pleasure questionnaire shall achieve a mean of ≥ 3.5/5.0; positive emotional response to ADAS functions shall be reported by ≥ 70% of users.</t>
  </si>
  <si>
    <t>X = AA = Psychometric scale value from a pleasure questionnaire</t>
  </si>
  <si>
    <t>User pleasure score ≥ 3.5/5.0 (PASS), &lt; 2.5/5.0 (FAIL); positive experience rate ≥ 70%; Emotional Response to ADAS questionnaire score ≥ positive threshold</t>
  </si>
  <si>
    <t>Pleasure/emotional experience questionnaire (post-use survey); Hedonic quality assessment (AttrakDiff questionnaire); Focus group interview; Comparative experience study (with/without ADAS)</t>
  </si>
  <si>
    <t>165</t>
  </si>
  <si>
    <t>Comfort</t>
  </si>
  <si>
    <t>ADAS-SCo-007-G</t>
  </si>
  <si>
    <t>Physical comfort</t>
  </si>
  <si>
    <t>When drivers use the ADAS product during extended driving sessions, they shall not experience increased physical discomfort compared to driving without ADAS assistance, and shall report equal or improved physical comfort.</t>
  </si>
  <si>
    <t>Physical comfort score on a validated questionnaire shall achieve a mean of ≥ 3.5/5.0 after extended driving sessions with ADAS; no ADAS-related physical discomfort incidents (e.g., unexpected braking causing whiplash) shall be reported.</t>
  </si>
  <si>
    <t>X = AA = Psychometric scale value from a comfort questionnaire</t>
  </si>
  <si>
    <t>Physical comfort score ≥ 3.5/5.0 (PASS), &lt; 2.5/5.0 (FAIL); AEB false positive rate causing discomfort ≤ 0.1%; no seat belt pre-tensioner unnecessary activations in validated test scenarios</t>
  </si>
  <si>
    <t>Physical comfort questionnaire (post extended session); Biomechanical comfort analysis (extended HiL study); AEB false positive rate measurement; Driver physiological monitoring (heart rate, muscle tension)</t>
  </si>
  <si>
    <t>166</t>
  </si>
  <si>
    <t>Economic risk mitigation</t>
  </si>
  <si>
    <t>ADAS-REc-001-G</t>
  </si>
  <si>
    <t>Return on investment</t>
  </si>
  <si>
    <t>When the ADAS product is deployed, it shall deliver measurable economic benefits (ROI, accident cost reduction, insurance premium reduction) that meet or exceed the business case targets defined at program launch.</t>
  </si>
  <si>
    <t>The ADAS product shall demonstrate ROI ≥ 15% within 3 years of market launch; accident-related cost reduction ≥ 20% in fleet data compared to non-ADAS equipped vehicles; warranty claim rate ≤ 0.5% of units in field.</t>
  </si>
  <si>
    <t>X = (A – B)/BA = Additional benefits obtainedB = Invested amount</t>
  </si>
  <si>
    <t>ROI X ≥ 0.15 (≥15%); business performance ratio X ≥ 1.0 (meets or exceeds target); warranty claim rate ≤ 0.5%; accident cost reduction ≥ 20% vs. non-ADAS baseline</t>
  </si>
  <si>
    <t>Post-market financial analysis (actual vs. target ROI); Insurance actuarial data analysis; Fleet accident cost comparison study; Warranty claim rate tracking (quarterly reporting)</t>
  </si>
  <si>
    <t>167</t>
  </si>
  <si>
    <t>ADAS-REc-002-G</t>
  </si>
  <si>
    <t>Time to achieve return on investment</t>
  </si>
  <si>
    <t>X = TT = Time to achieve ROI</t>
  </si>
  <si>
    <t>168</t>
  </si>
  <si>
    <t>ADAS-REc-003-G</t>
  </si>
  <si>
    <t>Business performance</t>
  </si>
  <si>
    <t>X = Aa/AtA = Profitability or sales of the company (a = actual, t = target)</t>
  </si>
  <si>
    <t>169</t>
  </si>
  <si>
    <t>ADAS-REc-004-G</t>
  </si>
  <si>
    <t>Benefits of IT investment</t>
  </si>
  <si>
    <t>X = Aa/AtA = Measure of the benefits of IT investment (a = actual, t = target)</t>
  </si>
  <si>
    <t>170</t>
  </si>
  <si>
    <t>ADAS-REc-001-S</t>
  </si>
  <si>
    <t>Service to customers</t>
  </si>
  <si>
    <t>The ADAS product and supporting service process shall provide customer-facing service capability for ADAS issues, updates, availability concerns, and defect handling in accordance with the approved customer service level targets.</t>
  </si>
  <si>
    <t>X = A/BA = Actual level of serviceB = Intended level of service</t>
  </si>
  <si>
    <t>PASS: X ≥ 0.95 for customer service levels related to ADAS availability, issue handling, and support commitments. MARGINAL: 0.90 ≤ X &lt; 0.95 with service improvement action. FAIL: X &lt; 0.90 or any contractual, safety-related, or regulatory service commitment is missed.</t>
  </si>
  <si>
    <t>171</t>
  </si>
  <si>
    <t>ADAS-REc-002-S</t>
  </si>
  <si>
    <t>Website visitors converted to customers</t>
  </si>
  <si>
    <t>The ADAS digital service or customer-facing information channel shall convert qualified visitors into intended customer actions according to the approved business target, without using misleading claims about ADAS capability or safety performance.</t>
  </si>
  <si>
    <t>X = A/BA = Number of visitors who become customersB = Number of unique visitors to a particular web page(s)</t>
  </si>
  <si>
    <t>PASS: X meets or exceeds the approved conversion or engagement target for the monitored service channel without using misleading or non-compliant information. MARGINAL: within 10% below target with improvement action. FAIL: more than 10% below target or any privacy, compliance, or misleading-content issue is identified.</t>
  </si>
  <si>
    <t>172</t>
  </si>
  <si>
    <t>ADAS-REc-003-S</t>
  </si>
  <si>
    <t>Revenue from each customer</t>
  </si>
  <si>
    <t>The ADAS product or related service shall achieve the approved revenue or value target per customer while maintaining transparency of ADAS capability, limitations, safety constraints, and service obligations.</t>
  </si>
  <si>
    <t>X = AA = Revenue from a customer</t>
  </si>
  <si>
    <t>PASS: X meets or exceeds the approved revenue target per customer while maintaining required service quality, privacy, and safety obligations. MARGINAL: within 10% below target with business mitigation. FAIL: more than 10% below target or revenue actions conflict with compliance, customer commitments, or safety responsibilities.</t>
  </si>
  <si>
    <t>173</t>
  </si>
  <si>
    <t>ADAS-REc-005-G</t>
  </si>
  <si>
    <t>Errors with economic consequences</t>
  </si>
  <si>
    <t>X = A/BA = Number of errors with economic consequencesB = Total number of usage situations</t>
  </si>
  <si>
    <t>174</t>
  </si>
  <si>
    <t>Health and safety risk mitigation</t>
  </si>
  <si>
    <t>ADAS-RHe-001-G</t>
  </si>
  <si>
    <t>User health reporting frequency</t>
  </si>
  <si>
    <t>When the ADAS product is used in real-world driving, it shall demonstrably reduce the frequency and severity of driver and occupant health and safety incidents compared to equivalent driving without ADAS assistance.</t>
  </si>
  <si>
    <t>The ADAS product shall reduce driver health and safety incidents (accidents, near-misses requiring emergency intervention) by ≥ 20% in equipped vehicles versus non-equipped baseline; safety of people affected X ≤ 0.05 (≤5% of users put at hazard).</t>
  </si>
  <si>
    <t>X = A/BA = Number of users reporting health problemsB = Total number of users</t>
  </si>
  <si>
    <t>Health incident reporting frequency X ≤ 0.05 (≤5% of users report health problems); safety impact X shows improvement over non-ADAS baseline; safety of people at hazard X ≤ 0.05; Euro NCAP Active Safety score ≥ target</t>
  </si>
  <si>
    <t>Fleet safety incident monitoring; Euro NCAP / IIHS active safety evaluation; Accident and near-miss data analysis (telematics); Public health impact study; Regulatory type approval safety testing</t>
  </si>
  <si>
    <t>175</t>
  </si>
  <si>
    <t>ADAS-RHe-002-G</t>
  </si>
  <si>
    <t>User health and safety impact</t>
  </si>
  <si>
    <t>X=Tb1i=1∑n(Ta,i×Si)n = Number of affected peopleTai = Length of time for which the i-th person is affectedSi = Degree of significance of the impact on the i-th personTb = Length of time from start of system in operation</t>
  </si>
  <si>
    <t>176</t>
  </si>
  <si>
    <t>ADAS-RHe-003-G</t>
  </si>
  <si>
    <t>Safety of people affected</t>
  </si>
  <si>
    <t>X = A/BA = Number of people put at hazardB = Total number of people who could be affected by use of the system</t>
  </si>
  <si>
    <t>177</t>
  </si>
  <si>
    <t>Enviromental risk mitigation</t>
  </si>
  <si>
    <t>ADAS-REn-001-G</t>
  </si>
  <si>
    <t>Environmental impact</t>
  </si>
  <si>
    <t>When the ADAS product is deployed in fleet operation, it shall contribute to measurable reduction in vehicle environmental impact (fuel consumption, emissions) through ADAS-enabled eco-driving optimization.</t>
  </si>
  <si>
    <t>The ADAS product shall demonstrate measurable reduction in CO2 emissions and fuel consumption (≥ 5% improvement in eco-driving scenarios vs. unassisted baseline); all ADAS-related hardware shall comply with RoHS and REACH environmental requirements.</t>
  </si>
  <si>
    <t>X = Aa/AtA = Environmental impact (a = actual, t = target)</t>
  </si>
  <si>
    <t>Environmental impact X ≤ 0.95 × baseline CO2 (≥5% reduction); eco-driving function adoption rate ≥ 60%; RoHS/REACH compliance: PASS; lifecycle CO2 footprint within OEM-specified target</t>
  </si>
  <si>
    <t>Fuel consumption measurement study (with/without eco-ADAS); CO2 emission measurement (WLTP protocol); RoHS/REACH material compliance audit; Lifecycle environmental assessment</t>
  </si>
  <si>
    <t>178</t>
  </si>
  <si>
    <t>Context completeness</t>
  </si>
  <si>
    <t>ADAS-CCm-001-G</t>
  </si>
  <si>
    <t>When the ADAS product is validated across the full breadth of its defined operational contexts (ODD), all required driving contexts shall demonstrate acceptable usability and safety risk levels for the ADAS functions applicable to that context.</t>
  </si>
  <si>
    <t>The ADAS product shall demonstrate acceptable performance in ≥ 95% of defined ODD contexts (road types, weather, lighting, speed ranges); no defined ODD context shall be unsupported at product launch without explicit risk acceptance.</t>
  </si>
  <si>
    <t>X = A/BA = Number of contexts with acceptable usability and riskB = Total number of required distinct contexts of use</t>
  </si>
  <si>
    <t>Context completeness X ≥ 0.95 (≥95% of required contexts validated with acceptable performance); 0 undefined mandatory ODD contexts at release; risk acceptance documented for any ODD limitation</t>
  </si>
  <si>
    <t>ODD context coverage test plan review; Structured ODD validation test (per SAE J3016 / ISO 21448 SOTIF ODD definition); ODD gap analysis; Regulatory ODD coverage compliance review</t>
  </si>
  <si>
    <t>179</t>
  </si>
  <si>
    <t>ADAS-CFl-001-S</t>
  </si>
  <si>
    <t>Flexible context of use</t>
  </si>
  <si>
    <t>The ADAS product shall support the approved additional contexts of use only when the corresponding ODD, safety analysis, validation evidence, HMI communication, and regulatory constraints have been confirmed.</t>
  </si>
  <si>
    <t>X = A/BA = Number of additional contexts in which the product can be used with acceptable quality in useB = Total number of additional contexts in which the product might be used</t>
  </si>
  <si>
    <t>PASS: X ≥ 0.80 for additional approved contexts of use and each added context has documented ODD, limitation, validation evidence, and residual risk assessment. MARGINAL: 0.60 ≤ X &lt; 0.80 with staged release plan. FAIL: X &lt; 0.60 or any context is claimed without validation evidence or ODD boundary definition.</t>
  </si>
  <si>
    <t>OTA-driven context extension test; New user group usability study; Product adaptability assessment; ODD extension validation after OTA update</t>
  </si>
  <si>
    <t>180</t>
  </si>
  <si>
    <t>ADAS-CFl-002-S</t>
  </si>
  <si>
    <t>Product flexibility</t>
  </si>
  <si>
    <t>The ADAS product architecture and HMI/service design shall support approved new user requirements with controlled modification effort, without regression of safety-critical behavior, cybersecurity controls, or regulatory compliance.</t>
  </si>
  <si>
    <t>X=B1​i=1∑B​Ai​Ai = Modifiability (as specified in ISO/IEC 25023) for the i-th requirementB = Total number of new requirements from specified users</t>
  </si>
  <si>
    <t>PASS: aggregated modifiability score X ≥ 0.80 for new user requirements, with no regression in safety, cybersecurity, or compatibility baselines. MARGINAL: 0.60 ≤ X &lt; 0.80 with architectural improvement plan. FAIL: X &lt; 0.60 or requested flexibility introduces unresolved safety, security, or compliance risk.</t>
  </si>
  <si>
    <t>181</t>
  </si>
  <si>
    <t>ADAS-CFl-003-S</t>
  </si>
  <si>
    <t>Proficiency independence</t>
  </si>
  <si>
    <t>The ADAS product shall allow intended additional user groups with different proficiency levels to perform supported tasks successfully, while preserving clear safety instructions, system limitation awareness, and driver responsibility communication.</t>
  </si>
  <si>
    <t>X = A/BA = Number of additional user groups without specific knowledge, skills or experience who can use the productB = Total number of potential user groups without specific knowledge, skills, or experience</t>
  </si>
  <si>
    <t>PASS: X ≥ 0.90 for intended additional user groups and all safety-relevant tasks remain understandable without specialist knowledge. MARGINAL: 0.80 ≤ X &lt; 0.90 with training or HMI improvement action. FAIL: X &lt; 0.80 or any intended user group cannot safely understand or operate primary ADAS functions.</t>
  </si>
  <si>
    <t>182</t>
  </si>
  <si>
    <t>Data Quality</t>
  </si>
  <si>
    <t>Accuracy</t>
  </si>
  <si>
    <t>ADAS-Acc-001-G</t>
  </si>
  <si>
    <t>Syntactic data accuracy</t>
  </si>
  <si>
    <t>When the ADAS product collects, processes, and stores sensor data and derived information (object positions, velocities, map data), all data values shall be syntactically and semantically accurate within specified tolerances.</t>
  </si>
  <si>
    <t>ADAS sensor data and derived data shall achieve syntactic accuracy X ≥ 0.99 and semantic accuracy X ≥ 0.95; object position error shall be ≤ ±0.5 m (1σ) at 100 m range; velocity measurement error shall be ≤ ±0.5 km/h.</t>
  </si>
  <si>
    <t>X=A/B A= number of data items  which have related values syntactically accurate  B= number of data items for  which syntactic accuracy is required</t>
  </si>
  <si>
    <t>Syntactic data accuracy X ≥ 0.99; semantic data accuracy X ≥ 0.95; positional accuracy error ≤ ±0.5 m at 100 m; velocity accuracy ≤ ±0.5 km/h; outlier risk X ≤ 0.01 (≤1% outliers in data set</t>
  </si>
  <si>
    <t>Sensor data accuracy measurement (ground-truth comparison test); Object detection accuracy evaluation (annotated dataset); GNSS position accuracy test; Data accuracy range boundary test; Metadata accuracy audit</t>
  </si>
  <si>
    <t>183</t>
  </si>
  <si>
    <t>ADAS-Acc-002-G</t>
  </si>
  <si>
    <t>Semantic data accuracy</t>
  </si>
  <si>
    <t>X=A/BA= number of data values semantically accurate  B= number of data values for which semantic accuracy is required</t>
  </si>
  <si>
    <t>184</t>
  </si>
  <si>
    <t>ADAS-Acc-003-G</t>
  </si>
  <si>
    <t>Data accuracy assurance</t>
  </si>
  <si>
    <t>X=A/B A= number of data items  measured for accuracy B= number of data items for which measurement is  required for accuracy</t>
  </si>
  <si>
    <t>185</t>
  </si>
  <si>
    <t>AIM-Acc-001-G</t>
  </si>
  <si>
    <t>AI training data annotation accuracy</t>
  </si>
  <si>
    <t>When AI model training data is annotated, all annotations shall be semantically and geometrically accurate within defined tolerance thresholds to ensure the model learns correct feature representations and does not inherit systematic annotation errors.</t>
  </si>
  <si>
    <t>Annotation accuracy X ≥ 0.97 (verified by double-blind audit on statistical sample); bounding box IoU with ground truth ≥ 0.85 (vehicle), ≥ 0.80 (pedestrian); safety-critical class annotation error rate ≤ 1%.</t>
  </si>
  <si>
    <t>X = A/BA = Annotated data items (bounding boxes, segmentation masks, lane labels) verified as accurate against ground truthB = Total annotated items in sampled quality audit</t>
  </si>
  <si>
    <t>Annotation accuracy X ≥ 0.97: PASS; X &lt; 0.93: FAILBounding box IoU (vehicle) ≥ 0.85: PASS; &lt; 0.78: FAILBounding box IoU (pedestrian) ≥ 0.80: PASS; &lt; 0.72: FAILSafety-critical annotation error rate ≤ 1%: PASS; &gt; 3%: FAIL</t>
  </si>
  <si>
    <t>186</t>
  </si>
  <si>
    <t>ADAS-Acc-004-G</t>
  </si>
  <si>
    <t>Risk of data set inaccuracy</t>
  </si>
  <si>
    <t>X=A/B A= number of data values that are outliers  B= number of data values to be considered in a data set</t>
  </si>
  <si>
    <t>187</t>
  </si>
  <si>
    <t>ADAS-Acc-005-G</t>
  </si>
  <si>
    <t>Data model accuracy</t>
  </si>
  <si>
    <t>X=A/B A= number of elements of  the data model that accurately describe the system  B= number of elements of  the data model that describe the required accuracy within the requirement specification of the system</t>
  </si>
  <si>
    <t>188</t>
  </si>
  <si>
    <t>ADAS-Acc-006-G</t>
  </si>
  <si>
    <t>Metadata accuracy</t>
  </si>
  <si>
    <t>X=A/B A= number of metadata that  provides the appropriate  required information  B= number of metadata  defined within the  requirement specification of data</t>
  </si>
  <si>
    <t>189</t>
  </si>
  <si>
    <t>ADAS-Acc-007-G</t>
  </si>
  <si>
    <t>Data accuracy range</t>
  </si>
  <si>
    <t>X=A/B  A= number of data items  having a value included in a  specified interval (i.e. range  from minimum to maximum)  B= number of data items for  which can be defined a  required interval of values</t>
  </si>
  <si>
    <t>190</t>
  </si>
  <si>
    <t>Completeness</t>
  </si>
  <si>
    <t>ADAS-Com-001-G</t>
  </si>
  <si>
    <t>Record completeness</t>
  </si>
  <si>
    <t>When the ADAS product collects and stores operational and diagnostic data, all required data records, attributes, and values shall be present and non-null for all data items specified as mandatory in the data specification.</t>
  </si>
  <si>
    <t>Record completeness for all mandatory ADAS data fields shall be X ≥ 0.99; attribute completeness for all critical diagnostic data items shall be X ≥ 0.98; data file completeness (expected vs. actual records) shall be X ≥ 0.99.</t>
  </si>
  <si>
    <t>X=A/B  A= number of data items with  associated value not null in a record  B= number of data items of  the record for which  completeness can be measured</t>
  </si>
  <si>
    <t>Record completeness X ≥ 0.99; attribute completeness X ≥ 0.98; data file completeness X ≥ 0.99; empty records rate ≤ 0.01; conceptual data model completeness X = 1.0</t>
  </si>
  <si>
    <t>Data completeness audit (automated null-check scan); Data dictionary completeness review; Sensor data logging completeness test (dropout detection); Diagnostic data completeness verification</t>
  </si>
  <si>
    <t>191</t>
  </si>
  <si>
    <t>ADAS-Com-002-G</t>
  </si>
  <si>
    <t>Attribute completeness</t>
  </si>
  <si>
    <t>X=A/B  A= number of records with  associated values not null for a specific data item  B= number of records counted</t>
  </si>
  <si>
    <t>192</t>
  </si>
  <si>
    <t>AIM-Com-001-G</t>
  </si>
  <si>
    <t>AI training dataset ODD scenario completeness</t>
  </si>
  <si>
    <t>When the AI model training dataset is assembled, it shall provide sufficient coverage and volume across all defined ODD sub-scenarios (road types, weather, lighting, traffic density, geographies) to enable robust model learning across the full intended operational scope.</t>
  </si>
  <si>
    <t>Dataset ODD completeness X ≥ 0.95; each ODD sub-scenario category shall contain ≥ 5,000 annotated frames (or statistically justified minimum); underrepresented safety-critical scenarios shall have documented data augmentation applied.</t>
  </si>
  <si>
    <t>X = A/BA = ODD sub-scenario categories represented in training dataset with sample count ≥ defined minimumB = Total ODD sub-scenario categories in data collection specification</t>
  </si>
  <si>
    <t>ODD completeness X ≥ 0.95: PASS; X &lt; 0.85: FAILMinimum sample count met for all ODD categories: PASS; any safety-critical category below minimum: FAILData augmentation for underrepresented scenarios documented: PASS; absent: FAIL</t>
  </si>
  <si>
    <t>193</t>
  </si>
  <si>
    <t>ADAS-Com-003-G</t>
  </si>
  <si>
    <t>Data file completeness</t>
  </si>
  <si>
    <t>X=A/B  A= number of records contained in a data file  B= number of records expected</t>
  </si>
  <si>
    <t>194</t>
  </si>
  <si>
    <t>ADAS-Com-004-G</t>
  </si>
  <si>
    <t>Data values completeness</t>
  </si>
  <si>
    <t>X=A/B  A= number of data values for  a data item in a data file  connected to expected values  B= number of data values expected for a data item in a data file</t>
  </si>
  <si>
    <t>195</t>
  </si>
  <si>
    <t>ADAS-Com-005-G</t>
  </si>
  <si>
    <t>Empty records in a data file</t>
  </si>
  <si>
    <t>X=1-A/B  A= number of records where all data items are empty  B= number of records in a data file</t>
  </si>
  <si>
    <t>196</t>
  </si>
  <si>
    <t>ADAS-Com-006-G</t>
  </si>
  <si>
    <t>Conceptual data model completeness</t>
  </si>
  <si>
    <t>X=A/B  A= number of entities of the conceptual data model  B= number of entities of the conceptual data model that describe the contextual schema  completely</t>
  </si>
  <si>
    <t>197</t>
  </si>
  <si>
    <t>ADAS-Com-007-G</t>
  </si>
  <si>
    <t>Conceptual data model attributes completeness</t>
  </si>
  <si>
    <t>X=A/B  A= number of attributes defined in the conceptual data model  B= number of attributes  defined in the conceptual data model that describe the contextual schema completely</t>
  </si>
  <si>
    <t>198</t>
  </si>
  <si>
    <t>ADAS-Com-008-G</t>
  </si>
  <si>
    <t>Metadata completeness</t>
  </si>
  <si>
    <t>X=A/B  A= number of attributes with complete metadata within the data dictionary  B= number of attributes for which metadata are expected within the data dictionary</t>
  </si>
  <si>
    <t>199</t>
  </si>
  <si>
    <t>Consistency</t>
  </si>
  <si>
    <t>ADAS-Con-001-G</t>
  </si>
  <si>
    <t>Referential integrity</t>
  </si>
  <si>
    <t>When ADAS data is stored and exchanged across multiple ECUs, databases, and cloud backends, all data representations shall be consistent in format, value, and semantics across all instances and systems.</t>
  </si>
  <si>
    <t>Referential integrity for all cross-system ADAS data shall be X ≥ 0.99; data format consistency across all data files and systems shall be X ≥ 0.99; data duplication (inconsistency risk) shall be ≤ 1% of data items.</t>
  </si>
  <si>
    <t>X=1-A/B  A= number of data items not consistent by value  B= number of data items for which referential integrity  must be defined</t>
  </si>
  <si>
    <t>Referential integrity X ≥ 0.99; data format consistency X ≥ 0.99; data inconsistency risk X ≤ 0.01; semantic consistency X ≥ 0.98; architecture consistency X = 1.0</t>
  </si>
  <si>
    <t>Cross-system data consistency audit; Referential integrity check (automated database test); Data format conformance test; Semantic consistency review; Architecture-as-built vs. reference architecture comparison</t>
  </si>
  <si>
    <t>200</t>
  </si>
  <si>
    <t>AIM-Con-001-G</t>
  </si>
  <si>
    <t>AI training data annotation consistency (cross-annotator / cross-vendor)</t>
  </si>
  <si>
    <t>When AI training data is annotated by multiple annotators or vendors across multiple time periods, the annotations shall be consistent in format, class definition, and geometric precision to prevent the model from learning inconsistent feature mappings that degrade generalization.</t>
  </si>
  <si>
    <t>Annotation consistency X ≥ 0.95; inter-annotator agreement (Cohen's Kappa) ≥ 0.85 for all object classes; annotation format shall conform to the defined data schema with 0 format inconsistencies.</t>
  </si>
  <si>
    <t>X = A/BA = Data items with consistent annotations across all sources and time periodsB = Total data items checked for consistency</t>
  </si>
  <si>
    <t>Consistency X ≥ 0.95: PASS; X &lt; 0.90: FAILInter-annotator Kappa ≥ 0.85: PASS; &lt; 0.75: FAILFormat schema violations = 0: PASS; any critical inconsistency: FAIL</t>
  </si>
  <si>
    <t>201</t>
  </si>
  <si>
    <t>ADAS-Con-002-G</t>
  </si>
  <si>
    <t>Data format consistency</t>
  </si>
  <si>
    <t>X=A/B  A= number of data items where the format of all  properties is consistent in different data files  B= number of data items for which format consistency can be defined</t>
  </si>
  <si>
    <t>202</t>
  </si>
  <si>
    <t>ADAS-Con-003-G</t>
  </si>
  <si>
    <t>Risk of data inconsistency</t>
  </si>
  <si>
    <t>X=A/B  A= Number of data items where exist duplication in  value  B= Number of data items considered</t>
  </si>
  <si>
    <t>203</t>
  </si>
  <si>
    <t>ADAS-Con-004-G</t>
  </si>
  <si>
    <t>Architecture consistency</t>
  </si>
  <si>
    <t>X=A/B  A= Number of elements of an architecture that have a  corresponding referenced elements in the installed  architecture  B= Number of elements of the referenced architecture</t>
  </si>
  <si>
    <t>204</t>
  </si>
  <si>
    <t>ADAS-Con-005-G</t>
  </si>
  <si>
    <t>Data values consistency coverage</t>
  </si>
  <si>
    <t>X=A/B  A= number of data items considered in consistency  measurement of data values  B= number of data items for which consistency are  measured</t>
  </si>
  <si>
    <t>205</t>
  </si>
  <si>
    <t>ADAS-Con-006-G</t>
  </si>
  <si>
    <t>Semantic consistency</t>
  </si>
  <si>
    <t>X=A/B  A=number of data items where values are semantically correct in the data file  B=number of data items for which semantic rules are  defined</t>
  </si>
  <si>
    <t>206</t>
  </si>
  <si>
    <t>Credibility</t>
  </si>
  <si>
    <t>ADAS-Cre-001-G</t>
  </si>
  <si>
    <t>Values credibility</t>
  </si>
  <si>
    <t>When ADAS data (training data, map data, calibration data) is used for system development or operation, all data values and sources shall be verified and certified as credible by a qualified process or organization.</t>
  </si>
  <si>
    <t>Training dataset credibility (values validated/certified) shall be X ≥ 0.95; all map and calibration data shall be sourced from or certified by qualified organizations; data dictionary credibility shall be X = 1.0.</t>
  </si>
  <si>
    <t>X=A/B  A= number of information items where values are  validated/certified by a specific process  B= number of information items to be validated/certified</t>
  </si>
  <si>
    <t>Values credibility X ≥ 0.95; source credibility X ≥ 0.95 (from qualified organizations); data dictionary credibility X = 1.0; data model credibility X ≥ 0.95</t>
  </si>
  <si>
    <t>Data source qualification audit; Training data certification review; Map data provider qualification assessment; Data dictionary credibility review; ISO/IEC 25024 data credibility assessment</t>
  </si>
  <si>
    <t>207</t>
  </si>
  <si>
    <t>AIM-Cre-001-G</t>
  </si>
  <si>
    <t>AI training data source credibility</t>
  </si>
  <si>
    <t>When AI model training and validation data is collected and curated, all data shall originate from credible, qualified sources with documented collection conditions, consent where applicable, and audit trails to ensure the data accurately represents the intended real-world distribution.</t>
  </si>
  <si>
    <t>Source credibility X ≥ 0.95; all data collection sensors shall have calibration certificates; data collection consent and privacy compliance documented for 100% of applicable data; synthetic data validated for realism before use in safety-relevant training.</t>
  </si>
  <si>
    <t>X = A/BA = Training data items sourced from or validated by qualified, audited data providersB = Total training data items in dataset</t>
  </si>
  <si>
    <t>PASS: Source credibility X ≥ 0.95 for dataset items; 100% coverage for mandatory sensor calibration certificates and applicable consent or privacy compliance records; synthetic data realism validation completed for all safety-relevant synthetic data. MARGINAL: 0.90 ≤ X &lt; 0.95 only for non-safety data partitions with documented bias and representativeness impact analysis. FAIL: X &lt; 0.90, any missing mandatory calibration or privacy evidence, or unvalidated safety-relevant synthetic data.</t>
  </si>
  <si>
    <t>208</t>
  </si>
  <si>
    <t>ADAS-Cre-002-G</t>
  </si>
  <si>
    <t>Source credibility</t>
  </si>
  <si>
    <t>X=A/B  A= number of data values provided or validated/certified by a qualified organization  B= number of data values for which source credibility can be defined</t>
  </si>
  <si>
    <t>209</t>
  </si>
  <si>
    <t>ADAS-Cre-003-G</t>
  </si>
  <si>
    <t>Data dictionary credibility</t>
  </si>
  <si>
    <t>X=A/B  A= number of information items in the data dictionary for which values are validated/certified by a specific  process  B= number of information items in the data dictionary</t>
  </si>
  <si>
    <t>210</t>
  </si>
  <si>
    <t>ADAS-Cre-004-G</t>
  </si>
  <si>
    <t>Data model credibility</t>
  </si>
  <si>
    <t>X=A/B  A= number of elements of a data model with appropriate definition validated/certified by a specific process  B= number of elements of a data model</t>
  </si>
  <si>
    <t>211</t>
  </si>
  <si>
    <t>Currentness</t>
  </si>
  <si>
    <t>ADAS-Cur-001-G</t>
  </si>
  <si>
    <t>Update frequency</t>
  </si>
  <si>
    <t>When the ADAS product requires up-to-date data (HD maps, traffic signs, OTA calibration updates), all data shall be updated with the required frequency and within the specified time constraints to maintain system safety and accuracy.</t>
  </si>
  <si>
    <t>Map and calibration data update frequency shall meet specified requirements with X ≥ 0.95 compliance; timeliness of update (data updated within required time window) shall be X ≥ 0.95; all data items with update requirements shall have explicit update requisitions.</t>
  </si>
  <si>
    <t>X=A/B  A= number of data items updated with the required  frequency  B= number of data items having an update frequency  requirement.</t>
  </si>
  <si>
    <t>Update frequency compliance X ≥ 0.95; timeliness of update X ≥ 0.95; update item requisition coverage X = 1.0 for safety-critical data; OTA update delivery latency ≤ specified maximum (e.g., ≤ 24 hours for safety-critical map updates)</t>
  </si>
  <si>
    <t>OTA update delivery timing measurement; Map data freshness audit; Calibration data version control review; Update requisition completeness audit; ISO/IEC 25024 currentness assessment</t>
  </si>
  <si>
    <t>212</t>
  </si>
  <si>
    <t>ADAS-Cur-002-G</t>
  </si>
  <si>
    <t>Timeliness of update</t>
  </si>
  <si>
    <t>X=A/B  A= number of data items timely updated  B= number of data items needing updating</t>
  </si>
  <si>
    <t>213</t>
  </si>
  <si>
    <t>ADAS-Cur-003-G</t>
  </si>
  <si>
    <t>Update item requisition</t>
  </si>
  <si>
    <t>X=A/B  A= number of information items with an explicit update  requisition  B=number of information items for which an update  requisition is necessary</t>
  </si>
  <si>
    <t>214</t>
  </si>
  <si>
    <t>AIM-Cur-001-G</t>
  </si>
  <si>
    <t>AI training / validation data freshness</t>
  </si>
  <si>
    <t>When the AI model relies on training or validation data that reflects the real world (HD maps, traffic object appearances, road marking standards), the data shall be sufficiently current to match the target deployment environment; stale data shall be identified and refreshed before model retraining.</t>
  </si>
  <si>
    <t>Training data freshness X ≥ 0.90; HD map validation data updated within 6 months of deployment; model re-validation shall be triggered if &gt; 20% of the validation dataset becomes stale due to environmental change.</t>
  </si>
  <si>
    <t>X = A/BA = Data items refreshed within the required update periodB = Total data items with an update frequency requirement</t>
  </si>
  <si>
    <t>Data freshness X ≥ 0.90: PASS; X &lt; 0.80: FAILHD map validation data age ≤ 6 months: PASS; &gt; 12 months: FAILRe-validation triggered at ≥ 20% staleness: PASS; not triggered: FAIL</t>
  </si>
  <si>
    <t>215</t>
  </si>
  <si>
    <t>Accessibility</t>
  </si>
  <si>
    <t>ADAS-Acs-001-G</t>
  </si>
  <si>
    <t>User accessibility</t>
  </si>
  <si>
    <t>When drivers with diverse abilities and needs use the ADAS product, all ADAS functions critical for safety and mobility shall be accessible regardless of the driver's physical or sensory capabilities.</t>
  </si>
  <si>
    <t>All primary ADAS functions shall be accessible to drivers with disabilities using specified assistive technologies; WCAG 2.1 Level AA compliance shall be achieved for all display elements; voice command success rate shall be ≥ 85%.</t>
  </si>
  <si>
    <t>X=A/B  A= number of data items relevant to the user’s task  within a specific context of use having values accessible by intended users  B= number of data items that are relevant to the user’s task within the context of use having values that are required to be accessible in conformance to  specification</t>
  </si>
  <si>
    <t>Accessibility coverage X ≥ 0.90; WCAG 2.1 AA compliance: PASS; voice command recognition rate ≥ 85%; accessibility barrier count = 0 for safety-critical functions</t>
  </si>
  <si>
    <t>Accessibility usability test (participants with disabilities); WCAG compliance audit; Voice control accuracy test; Assistive technology compatibility test</t>
  </si>
  <si>
    <t>216</t>
  </si>
  <si>
    <t>ADAS-Acs-002-G</t>
  </si>
  <si>
    <t>Device accessibility</t>
  </si>
  <si>
    <t>X=A/B  A= number of data items with values accessible through a specific device by intended users  B= number of data items for which device accessibility can be defined</t>
  </si>
  <si>
    <t>217</t>
  </si>
  <si>
    <t>ADAS-Acs-003-G</t>
  </si>
  <si>
    <t>Data format accessibility</t>
  </si>
  <si>
    <t>X=1-A/B  A= number of data items not accessible due its format  B= number of data items for which format accessibility can be defined</t>
  </si>
  <si>
    <t>218</t>
  </si>
  <si>
    <t>Compliance</t>
  </si>
  <si>
    <t>ADAS-Cmp-001-G</t>
  </si>
  <si>
    <t>Regulatory compliance of value and/or format</t>
  </si>
  <si>
    <t>When the ADAS product is deployed in target markets, it shall comply with all applicable regulations, standards, and legal requirements relevant to ADAS systems in those markets.</t>
  </si>
  <si>
    <t>The ADAS product shall demonstrate compliance with 100% of applicable mandatory regulations (UN ECE R79, R130, R131, R152, ISO 26262, ISO 21448, GDPR/APPI); all required type approvals shall be obtained prior to market launch.</t>
  </si>
  <si>
    <t>X=A/B  A= number of data items that have values and/or format that conform to standards, conventions or regulations  B= number of data items that shall conform to standards, conventions or regulations due to their value</t>
  </si>
  <si>
    <t>Regulatory compliance X = 1.0 (100% of mandatory requirements met); all type approvals obtained: PASS; 0 open non-conformances at market launch; annual compliance audit: PASS</t>
  </si>
  <si>
    <t>Regulatory compliance matrix review; Type approval testing (UN ECE R79/R130/R131/R152); ISO 26262 functional safety assessment; GDPR/APPI data protection impact assessment; Annual third-party compliance audit</t>
  </si>
  <si>
    <t>219</t>
  </si>
  <si>
    <t>ADAS-Cmp-002-G</t>
  </si>
  <si>
    <t>Regulatory compliance due to technology</t>
  </si>
  <si>
    <t>X=A/B  A= number of data items that conforms to standards,  conventions or regulations due to technology  B= number of data items that shall conform to standards, conventions or regulations due  to technology</t>
  </si>
  <si>
    <t>220</t>
  </si>
  <si>
    <t>ADAS-Cnf-001-G</t>
  </si>
  <si>
    <t>Encryption usage</t>
  </si>
  <si>
    <t>When the ADAS product is evaluated for Confidentiality under defined operating conditions, all specified quality requirements shall be met within acceptable thresholds.</t>
  </si>
  <si>
    <t>The ADAS product shall satisfy the Encryption usage requirement as measured by the defined method, achieving the specified target value within tolerance.</t>
  </si>
  <si>
    <t>X=A/B  A= number of data values correctly and successfully  encrypted and decrypted  B= number of data values with encryption and decryption requirement</t>
  </si>
  <si>
    <t>X meets or exceeds specified target threshold (PASS); X falls below minimum acceptable level (FAIL); marginal zone requires engineering judgment</t>
  </si>
  <si>
    <t>Review and verification of Encryption usage during the applicable development phase; measurement using the defined method against the specified acceptance criteria</t>
  </si>
  <si>
    <t>221</t>
  </si>
  <si>
    <t>ADAS-Cnf-002-G</t>
  </si>
  <si>
    <t>Non vulnerability</t>
  </si>
  <si>
    <t>The ADAS product shall satisfy the Non vulnerability requirement as measured by the defined method, achieving the specified target value within tolerance.</t>
  </si>
  <si>
    <t>X=1-A/B  A= number of accesses successfully performed during  formal penetration attempts by unauthorized users to reach target data item in a specific period of time  B= number of accesses attempted by unauthorized  users to target data item in a specific period of time</t>
  </si>
  <si>
    <t>Review and verification of Non vulnerability during the applicable development phase; measurement using the defined method against the specified acceptance criteria</t>
  </si>
  <si>
    <t>222</t>
  </si>
  <si>
    <t>ADAS-Eff-001-G</t>
  </si>
  <si>
    <t>Efficient data item format</t>
  </si>
  <si>
    <t>X=A/B  A= number of data items that are stored in a format  that are qualified as efficient  B= number of data items for which format is tested for  efficient operation</t>
  </si>
  <si>
    <t>223</t>
  </si>
  <si>
    <t>ADAS-Eff-002-G</t>
  </si>
  <si>
    <t>Usable efficiency</t>
  </si>
  <si>
    <t>X=A/B  A= number of data values that intended users evaluate as  “easily used”  B= number of data values evaluated by users</t>
  </si>
  <si>
    <t>224</t>
  </si>
  <si>
    <t>ADAS-Eff-003-G</t>
  </si>
  <si>
    <t>Data format efficiency</t>
  </si>
  <si>
    <t>X=1-A/B  A= size in bytes of record in a data file unnecessarily occupied due to data format definition  B= size in bytes of record in a data file due to data format definition</t>
  </si>
  <si>
    <t>225</t>
  </si>
  <si>
    <t>ADAS-Eff-004-G</t>
  </si>
  <si>
    <t>Data processing efficiency</t>
  </si>
  <si>
    <t>X=1-A/B  A= time lost due to data item representation (data format)  during a work  B= time of processing</t>
  </si>
  <si>
    <t>226</t>
  </si>
  <si>
    <t>ADAS-Eff-005-G</t>
  </si>
  <si>
    <t>Risk of wasted space</t>
  </si>
  <si>
    <t>X=SUM (B) – A  A= size in bytes assumed as target (i.e.: from a benchmark) for efficient data storage of the  database  B= size in bytes used for data in any physical data files of the database</t>
  </si>
  <si>
    <t>227</t>
  </si>
  <si>
    <t>ADAS-Eff-006-G</t>
  </si>
  <si>
    <t>Space occupied by records duplication</t>
  </si>
  <si>
    <t>X=A/B  A= size in bytes of space occupied due to records  duplication in a data file  B= size in bytes of space occupied due to record without  duplication in the same data file</t>
  </si>
  <si>
    <t>228</t>
  </si>
  <si>
    <t>ADAS-Eff-007-G</t>
  </si>
  <si>
    <t>Time delay of data update</t>
  </si>
  <si>
    <t>X=t2-t1  t1=time when data item is updated in system A  t2=time when data item is updated in system B</t>
  </si>
  <si>
    <t>229</t>
  </si>
  <si>
    <t>Precision</t>
  </si>
  <si>
    <t>ADAS-Pre-001-G</t>
  </si>
  <si>
    <t>Precision of data  values</t>
  </si>
  <si>
    <t>When the ADAS product measures and reports physical quantities (object distance, relative velocity, lateral offset), all measurements shall have sufficient precision to support safe and correct ADAS decision-making.</t>
  </si>
  <si>
    <t>Object distance measurement precision shall be ≤ ±0.2 m (1σ); lateral position precision shall be ≤ ±0.1 m (1σ); relative velocity precision shall be ≤ ±0.3 km/h; all precision requirements shall be met across the full ODD.</t>
  </si>
  <si>
    <t>X=A/B  A= number of data values with the requested precision  B= number of data values with the precision requirement defined</t>
  </si>
  <si>
    <t>Distance precision ≤ ±0.2 m; lateral precision ≤ ±0.1 m; velocity precision ≤ ±0.3 km/h; test cases not meeting precision threshold X ≤ 0.02 (≤2%)</t>
  </si>
  <si>
    <t>Precision measurement test (controlled environment with reference instrumentation); Statistical precision analysis (1σ, 2σ, 3σ); Ground-truth comparison test; ODD boundary precision test</t>
  </si>
  <si>
    <t>230</t>
  </si>
  <si>
    <t>ADAS-Pre-002-G</t>
  </si>
  <si>
    <t>Precision of data  format</t>
  </si>
  <si>
    <t>X=A/B  A= number of data items defined and perceived with the requested precision/data format  B= number of data items for  which precision of format is required</t>
  </si>
  <si>
    <t>231</t>
  </si>
  <si>
    <t>Tracebility</t>
  </si>
  <si>
    <t>ADAS-Tra-001-G</t>
  </si>
  <si>
    <t>Traceability  of data values</t>
  </si>
  <si>
    <t>When ADAS data items (sensor measurements, object tracks, decisions) are processed through the system, it shall be possible to trace each data item back to its origin and forward to its use in safety-relevant decisions.</t>
  </si>
  <si>
    <t>Data traceability shall be implemented for 100% of safety-critical data items from sensor input to actuation output; all data lineage records shall be retained for the required period to support incident investigation.</t>
  </si>
  <si>
    <t>X=A/B  A= number of data values for which required access  traceability of values exist  B= number of data values for which accessb traceability is expected</t>
  </si>
  <si>
    <t>Traceability coverage X = 1.0 for safety-critical data items; data lineage completeness X ≥ 0.95; traceability record retention period ≥ required minimum (e.g., 3 years or vehicle lifetime)</t>
  </si>
  <si>
    <t>Data lineage trace audit; Traceability matrix review (sensor input to actuation); Incident investigation trace exercise; Data retention compliance audit</t>
  </si>
  <si>
    <t>232</t>
  </si>
  <si>
    <t>ADAS-Tra-002-G</t>
  </si>
  <si>
    <t>Users access traceability</t>
  </si>
  <si>
    <t>X=A/B  A= number of data items for which user access traceability is expected and realized  B= number of data items for which user access traceability is expected</t>
  </si>
  <si>
    <t>233</t>
  </si>
  <si>
    <t>ADAS-Tra-003-G</t>
  </si>
  <si>
    <t>Data values   traceability</t>
  </si>
  <si>
    <t>X=A/B  A= number of data items for which values are traceable using  system capabilities  B= number of data items for  which values aren expected to be traceable using system capabilities</t>
  </si>
  <si>
    <t>234</t>
  </si>
  <si>
    <t>Understandability</t>
  </si>
  <si>
    <t>ADAS-Und-001-G</t>
  </si>
  <si>
    <t>Symbols  understandability</t>
  </si>
  <si>
    <t>When data engineers, system developers, and validation engineers work with ADAS data, the data structure, semantics, and context shall be sufficiently documented and understandable to prevent misinterpretation and data misuse.</t>
  </si>
  <si>
    <t>All ADAS data schemas shall be documented with clear, unambiguous definitions; data dictionary completeness shall be X ≥ 0.98; data comprehension test (engineers correctly interpreting data) shall achieve ≥ 90% accuracy.</t>
  </si>
  <si>
    <t>X=A/B  A= number of data values represented by known  symbols  B= number of data values for which symbols  understandabiliy is requested</t>
  </si>
  <si>
    <t>Data dictionary completeness X ≥ 0.98; data comprehension accuracy ≥ 90% in engineer test; 0 critical data misinterpretation incidents in validation activities; ontology/semantic model completeness X ≥ 0.95</t>
  </si>
  <si>
    <t>Data dictionary completeness audit; Data comprehension test (engineer sample); Semantic consistency review; Data schema peer review; Ontology review (if applicable)</t>
  </si>
  <si>
    <t>235</t>
  </si>
  <si>
    <t>ADAS-Und-002-G</t>
  </si>
  <si>
    <t>Semantic  understandability</t>
  </si>
  <si>
    <t>X=A/B  A= number of data values defined in the data dictionary by using a common vocabulary  B= number of data values definded in the data  dictionary</t>
  </si>
  <si>
    <t>236</t>
  </si>
  <si>
    <t>ADAS-Und-003-G</t>
  </si>
  <si>
    <t>Master data    understandability</t>
  </si>
  <si>
    <t>X=A/B  A=number of data items of master data files with  existing metadata  B=number of data items of master data files</t>
  </si>
  <si>
    <t>237</t>
  </si>
  <si>
    <t>ADAS-Und-004-G</t>
  </si>
  <si>
    <t>Data values  understandability</t>
  </si>
  <si>
    <t>X=A/B  A= number of data values easily understandable by  intended users  B= number of data values  that users attempt to  understand during an observation period</t>
  </si>
  <si>
    <t>238</t>
  </si>
  <si>
    <t>ADAS-Und-005-G</t>
  </si>
  <si>
    <t>Data model  understandability</t>
  </si>
  <si>
    <t>X=A/B A= number of elements considered understandable  in a data model  B= number of elements provided by a data model</t>
  </si>
  <si>
    <t>239</t>
  </si>
  <si>
    <t>ADAS-Und-006-G</t>
  </si>
  <si>
    <t>Data  representation  understandability</t>
  </si>
  <si>
    <t>X=A/B  A= number of data items considered understandable  by intended users  B= number of data items presented in a specific device</t>
  </si>
  <si>
    <t>240</t>
  </si>
  <si>
    <t>ADAS-Und-007-G</t>
  </si>
  <si>
    <t>Linked master  data understandability</t>
  </si>
  <si>
    <t>X=A/B  A=number of data items of master data files with  automatic linked understandable metadata  B=number of data items of master data files</t>
  </si>
  <si>
    <t>241</t>
  </si>
  <si>
    <t>ADAS-AvaD-001-G</t>
  </si>
  <si>
    <t>Data availability ratio</t>
  </si>
  <si>
    <t>When the ADAS product is evaluated for Availability under defined operating conditions, all specified quality requirements shall be met within acceptable thresholds.</t>
  </si>
  <si>
    <t>The ADAS product shall satisfy the  Data availability ratio requirement as measured by the defined method, achieving the specified target value within tolerance.</t>
  </si>
  <si>
    <t>X=A/B  A= number of data items available in a specific period of time  B= number of data items requested in the same period of time</t>
  </si>
  <si>
    <t>Review and verification of  Data availability ratio during the applicable development phase; measurement using the defined method against the specified acceptance criteria</t>
  </si>
  <si>
    <t>242</t>
  </si>
  <si>
    <t>ADAS-AvaD-002-G</t>
  </si>
  <si>
    <t>Probability of data  available</t>
  </si>
  <si>
    <t>The ADAS product shall satisfy the Probability of data  available requirement as measured by the defined method, achieving the specified target value within tolerance.</t>
  </si>
  <si>
    <t>X=A/B  A= number of times that data items are available for the requested duration  B= number of times that data items are requested for the requested duration</t>
  </si>
  <si>
    <t>Review and verification of Probability of data  available during the applicable development phase; measurement using the defined method against the specified acceptance criteria</t>
  </si>
  <si>
    <t>243</t>
  </si>
  <si>
    <t>ADAS-AvaD-003-G</t>
  </si>
  <si>
    <t>Architecture elements  availability</t>
  </si>
  <si>
    <t>The ADAS product shall satisfy the  Architecture elements  availability requirement as measured by the defined method, achieving the specified target value within tolerance.</t>
  </si>
  <si>
    <t>X=A/B  A=number of elements of the architecture available for the intended users  B= number of elements of the architecture</t>
  </si>
  <si>
    <t>Review and verification of  Architecture elements  availability during the applicable development phase; measurement using the defined method against the specified acceptance criteria</t>
  </si>
  <si>
    <t>244</t>
  </si>
  <si>
    <t>portability</t>
  </si>
  <si>
    <t>ADAS-PorD-001-G</t>
  </si>
  <si>
    <t>Data portability  ratio</t>
  </si>
  <si>
    <t>When ADAS data is transferred between development environments, cloud platforms, or vehicle ECUs, the data shall be usable in the target environment without requiring reformatting or re-processing beyond specified standard conversions.</t>
  </si>
  <si>
    <t>ADAS data portability shall be demonstrated across all specified target environments (development PC, HiL bench, vehicle ECU, cloud); standard data format compliance (e.g., ROS bag, ASAM OpenDRIVE, ASAM OpenSCENARIO) shall be verified.</t>
  </si>
  <si>
    <t>X=A/B  A= number of data items that preserve existing quality after porting  B= number of data items ported</t>
  </si>
  <si>
    <t>Data portability success rate X ≥ 0.98 across all specified environments; standard format compliance: PASS for all required formats; 0 data loss or corruption during portability transfer</t>
  </si>
  <si>
    <t>Cross-environment data transfer test; Standard format compliance validation (ASAM, ROS, HDF5); Data integrity verification after transfer; Multi-platform data interoperability test</t>
  </si>
  <si>
    <t>245</t>
  </si>
  <si>
    <t>ADAS-PorD-002-G</t>
  </si>
  <si>
    <t>Prospective data portability</t>
  </si>
  <si>
    <t>X=A/B  A=number of data items that can be moved to a target system  B= number of data items for which portability is expected</t>
  </si>
  <si>
    <t>246</t>
  </si>
  <si>
    <t>ADAS-PorD-003-G</t>
  </si>
  <si>
    <t>Architecture  elements  portability</t>
  </si>
  <si>
    <t>X=A/B  A=number of elements of the architecture are portable for a specific user  B= number of elements of the architecture required</t>
  </si>
  <si>
    <t>247</t>
  </si>
  <si>
    <t>recoverability</t>
  </si>
  <si>
    <t>ADAS-RecD-001-G</t>
  </si>
  <si>
    <t>Data  recoverability  ratio</t>
  </si>
  <si>
    <t>When ADAS data is lost or corrupted due to system failure, power loss, or cyber incident, the data shall be recoverable from backup to the extent required to resume safe ADAS operation and support incident investigation.</t>
  </si>
  <si>
    <t>All safety-critical ADAS operational data shall be recoverable from backup within 30 minutes of failure; backup completeness shall be X ≥ 0.95; recovered data integrity shall be verified as X = 1.0 (no corruption in recovered data).</t>
  </si>
  <si>
    <t>X=A/B  A= number of data items successfully and correctly  recovered by the system  B= number of data items that are required to be recovered</t>
  </si>
  <si>
    <t>Backup data completeness X ≥ 0.95; mean recovery time ≤ 30 minutes; recovered data integrity X = 1.0; backup restore success rate = 100% in test scenarios</t>
  </si>
  <si>
    <t>Backup and restore test (simulated failure scenarios); Recovery time measurement; Restored data integrity verification; Backup completeness audit; Disaster recovery plan review</t>
  </si>
  <si>
    <t>248</t>
  </si>
  <si>
    <t>ADAS-RecD-002-G</t>
  </si>
  <si>
    <t>Periodical backup</t>
  </si>
  <si>
    <t>X=A/B  A=number of data items  (or data file) successfully  backed up periodically B=number of data items  (or data file) to be backed up</t>
  </si>
  <si>
    <t>249</t>
  </si>
  <si>
    <t>ADAS-RecD-003-G</t>
  </si>
  <si>
    <t>Architecture recoverability</t>
  </si>
  <si>
    <t>X=A/B  A=number of elements of the  architecture successfully recovered  B=number of elements of the architecture that shall be  managed by back-up/restore procedures</t>
  </si>
  <si>
    <t>Metric</t>
  </si>
  <si>
    <t>Value</t>
  </si>
  <si>
    <t>Total migrated measures</t>
  </si>
  <si>
    <t>P0 high-priority measures</t>
  </si>
  <si>
    <t>P1 secondary measures</t>
  </si>
  <si>
    <t>P2 deferred/later-phase measures</t>
  </si>
  <si>
    <t>Current main-sheet columns</t>
  </si>
  <si>
    <t>QG evidence policy</t>
  </si>
  <si>
    <t>QG required evidence retained by quality attribute, not one-size-fits-all</t>
  </si>
  <si>
    <t>Formula error scan</t>
  </si>
  <si>
    <t>Completed after export</t>
  </si>
  <si>
    <t>Total</t>
  </si>
  <si>
    <t>Sub-Characteristic</t>
  </si>
  <si>
    <t>Priority</t>
  </si>
  <si>
    <t>Current Phase Decision</t>
  </si>
  <si>
    <t>Rationale</t>
  </si>
  <si>
    <t>Operational constraint</t>
  </si>
  <si>
    <t>Included</t>
  </si>
  <si>
    <t>Constrains product operation within safe parameters under hazards.</t>
  </si>
  <si>
    <t>Risk identification</t>
  </si>
  <si>
    <t>Identifies event chains that may expose human life, property or environment to unacceptable risk.</t>
  </si>
  <si>
    <t>Fail safe</t>
  </si>
  <si>
    <t>Ensures safe mode or safe condition under failure or implausible input.</t>
  </si>
  <si>
    <t>Hazard warning</t>
  </si>
  <si>
    <t>Provides timely warning or trigger to operators or internal controls.</t>
  </si>
  <si>
    <t>Safe integration</t>
  </si>
  <si>
    <t>Maintains safety during and after integration with other components.</t>
  </si>
  <si>
    <t>Ensures required functions and safety/security functions are not missing.</t>
  </si>
  <si>
    <t>Ensures outputs and semantics are correct under specified conditions.</t>
  </si>
  <si>
    <t>Ensures functions fit intended tasks, consumers, ODD and usage context.</t>
  </si>
  <si>
    <t>Time behaviour</t>
  </si>
  <si>
    <t>Real-time response and high-percentile latency directly affect safety margins.</t>
  </si>
  <si>
    <t>Resource utilization</t>
  </si>
  <si>
    <t>Resource exhaustion can cause dropped frames, scheduling degradation and unsafe behavior.</t>
  </si>
  <si>
    <t>Defines safe behavior under congestion, multi-object, construction or high-complexity scenes.</t>
  </si>
  <si>
    <t>Normal operation must avoid functional faults across expected ODD and conditions.</t>
  </si>
  <si>
    <t>System must be available when required or enter an explicit safe unavailable state.</t>
  </si>
  <si>
    <t>Fault tolerance</t>
  </si>
  <si>
    <t>System must operate safely or degrade safely under hardware/software faults.</t>
  </si>
  <si>
    <t>Recovery after interruption must avoid jitter, instability or prolonged unsafe unavailability.</t>
  </si>
  <si>
    <t>Tampered input, model, configuration or storage can affect whole-vehicle behavior.</t>
  </si>
  <si>
    <t>Without repeatable automated test, release regression proof is not credible.</t>
  </si>
  <si>
    <t>Other sub-characteristics</t>
  </si>
  <si>
    <t>Secondary</t>
  </si>
  <si>
    <t>Relevant but outside current high-priority gate scope except integrity.</t>
  </si>
  <si>
    <t>P1/P2</t>
  </si>
  <si>
    <t>Secondary or deferred</t>
  </si>
  <si>
    <t>Prioritize based on modification frequency, reuse need and regression risk.</t>
  </si>
  <si>
    <t>Other product qualities</t>
  </si>
  <si>
    <t>Compatibility, Interaction Capability, Portability, Quality in Use, Economic Risk etc.</t>
  </si>
  <si>
    <t>Deferred</t>
  </si>
  <si>
    <t>Not part of current high-priority product-quality scope.</t>
  </si>
  <si>
    <t>Quality Gate</t>
  </si>
  <si>
    <t>Gate Name</t>
  </si>
  <si>
    <t>Lifecycle Phase</t>
  </si>
  <si>
    <t>Expected Maturity</t>
  </si>
  <si>
    <t>Quality Sub-characteristic</t>
  </si>
  <si>
    <t>What to Check</t>
  </si>
  <si>
    <t>Pass Criteria</t>
  </si>
  <si>
    <t>Required Evidence</t>
  </si>
  <si>
    <t>Review Method</t>
  </si>
  <si>
    <t>Blocking Level</t>
  </si>
  <si>
    <t>Responsible Role</t>
  </si>
  <si>
    <t>Review Status</t>
  </si>
  <si>
    <t>Review Result</t>
  </si>
  <si>
    <t>Findings / Closure Action</t>
  </si>
  <si>
    <t>QG0</t>
  </si>
  <si>
    <t>Project Scope and Plan</t>
  </si>
  <si>
    <t>Scope and Plan</t>
  </si>
  <si>
    <t>Scope planned</t>
  </si>
  <si>
    <t>Mandatory</t>
  </si>
  <si>
    <t>Quality Plan; Project Scope; Quality Gate Plan; Role and Responsibility Matrix; Safety Analysis; Fault Injection Evidence; Safety Case Evidence</t>
  </si>
  <si>
    <t>Review; Analysis</t>
  </si>
  <si>
    <t>Safety Engineer</t>
  </si>
  <si>
    <t>Open</t>
  </si>
  <si>
    <t>System Engineer</t>
  </si>
  <si>
    <t>System Integration Lead</t>
  </si>
  <si>
    <t>Quality Plan; Project Scope; Quality Gate Plan; Role and Responsibility Matrix; Feature List; Functional Test Report; Requirements Coverage Report</t>
  </si>
  <si>
    <t>Product Owner</t>
  </si>
  <si>
    <t>Quality Plan; Project Scope; Quality Gate Plan; Role and Responsibility Matrix; Timing Report; Resource Profiling Report; Capacity Stress Test Report</t>
  </si>
  <si>
    <t>Performance Engineer</t>
  </si>
  <si>
    <t>Quality Plan; Project Scope; Quality Gate Plan; Role and Responsibility Matrix; Reliability Test Report; Availability Log; Fault Handling Report</t>
  </si>
  <si>
    <t>Quality Engineer</t>
  </si>
  <si>
    <t>Quality Plan; Project Scope; Quality Gate Plan; Role and Responsibility Matrix; Integrity Verification Report; Secure Baseline or Signature Check Record</t>
  </si>
  <si>
    <t>Cybersecurity Engineer</t>
  </si>
  <si>
    <t>Quality Plan; Project Scope; Quality Gate Plan; Role and Responsibility Matrix; Automated Regression Report; Test Asset Baseline; Test Coverage Report</t>
  </si>
  <si>
    <t>Test Manager</t>
  </si>
  <si>
    <t>QG1</t>
  </si>
  <si>
    <t>Requirement Feasibility</t>
  </si>
  <si>
    <t>Requirement Definition</t>
  </si>
  <si>
    <t>Requirement defined</t>
  </si>
  <si>
    <t>Requirement Specification; Review Record; Traceability Matrix; Feasibility Analysis; Safety Analysis; Fault Injection Evidence; Safety Case Evidence</t>
  </si>
  <si>
    <t>Requirement Specification; Review Record; Traceability Matrix; Feasibility Analysis; Feature List; Functional Test Report; Requirements Coverage Report</t>
  </si>
  <si>
    <t>Requirement Specification; Review Record; Traceability Matrix; Feasibility Analysis; Timing Report; Resource Profiling Report; Capacity Stress Test Report</t>
  </si>
  <si>
    <t>Requirement Specification; Review Record; Traceability Matrix; Feasibility Analysis; Reliability Test Report; Availability Log; Fault Handling Report</t>
  </si>
  <si>
    <t>Requirement Specification; Review Record; Traceability Matrix; Feasibility Analysis; Integrity Verification Report; Secure Baseline or Signature Check Record</t>
  </si>
  <si>
    <t>Requirement Specification; Review Record; Traceability Matrix; Feasibility Analysis; Automated Regression Report; Test Asset Baseline; Test Coverage Report</t>
  </si>
  <si>
    <t>QG2</t>
  </si>
  <si>
    <t>Implementation Completed</t>
  </si>
  <si>
    <t>Architecture; Implementation and Test</t>
  </si>
  <si>
    <t>Implemented</t>
  </si>
  <si>
    <t>Architecture Design; Detailed Design; Code or Model Review; Unit and Component Test Report; Safety Analysis; Fault Injection Evidence; Safety Case Evidence</t>
  </si>
  <si>
    <t>Review; Static Analysis; Unit Test; Component Test</t>
  </si>
  <si>
    <t>Architecture Design; Detailed Design; Code or Model Review; Unit and Component Test Report; Feature List; Functional Test Report; Requirements Coverage Report</t>
  </si>
  <si>
    <t>Architecture Design; Detailed Design; Code or Model Review; Unit and Component Test Report; Timing Report; Resource Profiling Report; Capacity Stress Test Report</t>
  </si>
  <si>
    <t>Architecture Design; Detailed Design; Code or Model Review; Unit and Component Test Report; Reliability Test Report; Availability Log; Fault Handling Report</t>
  </si>
  <si>
    <t>Architecture Design; Detailed Design; Code or Model Review; Unit and Component Test Report; Integrity Verification Report; Secure Baseline or Signature Check Record</t>
  </si>
  <si>
    <t>Architecture Design; Detailed Design; Code or Model Review; Unit and Component Test Report; Automated Regression Report; Test Asset Baseline; Test Coverage Report</t>
  </si>
  <si>
    <t>QG3</t>
  </si>
  <si>
    <t>Software Integrated</t>
  </si>
  <si>
    <t>Integration and Verification</t>
  </si>
  <si>
    <t>Integrated</t>
  </si>
  <si>
    <t>Software Integration Test Report; Interface Verification Report; HIL or SIL Log; Integration Defect List; Safety Analysis; Fault Injection Evidence; Safety Case Evidence</t>
  </si>
  <si>
    <t>Integration Test; HIL or SIL; Fault Injection; Log Analysis</t>
  </si>
  <si>
    <t>Software Integration Test Report; Interface Verification Report; HIL or SIL Log; Integration Defect List; Feature List; Functional Test Report; Requirements Coverage Report</t>
  </si>
  <si>
    <t>Software Integration Test Report; Interface Verification Report; HIL or SIL Log; Integration Defect List; Timing Report; Resource Profiling Report; Capacity Stress Test Report</t>
  </si>
  <si>
    <t>Software Integration Test Report; Interface Verification Report; HIL or SIL Log; Integration Defect List; Reliability Test Report; Availability Log; Fault Handling Report</t>
  </si>
  <si>
    <t>Software Integration Test Report; Interface Verification Report; HIL or SIL Log; Integration Defect List; Integrity Verification Report; Secure Baseline or Signature Check Record</t>
  </si>
  <si>
    <t>Software Integration Test Report; Interface Verification Report; HIL or SIL Log; Integration Defect List; Automated Regression Report; Test Asset Baseline; Test Coverage Report</t>
  </si>
  <si>
    <t>QG4</t>
  </si>
  <si>
    <t>Ready for Release</t>
  </si>
  <si>
    <t>Verification and Validation; Release</t>
  </si>
  <si>
    <t>Release ready</t>
  </si>
  <si>
    <t>Final Verification Report; Validation Report; Release Note; Known Issue List; Final Traceability Matrix; Safety Analysis; Fault Injection Evidence; Safety Case Evidence</t>
  </si>
  <si>
    <t>System Test; Vehicle Test; Validation; Release Review</t>
  </si>
  <si>
    <t>Final Verification Report; Validation Report; Release Note; Known Issue List; Final Traceability Matrix; Feature List; Functional Test Report; Requirements Coverage Report</t>
  </si>
  <si>
    <t>Final Verification Report; Validation Report; Release Note; Known Issue List; Final Traceability Matrix; Timing Report; Resource Profiling Report; Capacity Stress Test Report</t>
  </si>
  <si>
    <t>Final Verification Report; Validation Report; Release Note; Known Issue List; Final Traceability Matrix; Reliability Test Report; Availability Log; Fault Handling Report</t>
  </si>
  <si>
    <t>Final Verification Report; Validation Report; Release Note; Known Issue List; Final Traceability Matrix; Integrity Verification Report; Secure Baseline or Signature Check Record</t>
  </si>
  <si>
    <t>Final Verification Report; Validation Report; Release Note; Known Issue List; Final Traceability Matrix; Automated Regression Report; Test Asset Baseline; Test Coverage Report</t>
  </si>
  <si>
    <t>QG5</t>
  </si>
  <si>
    <t>Project Close</t>
  </si>
  <si>
    <t>Production and Operation</t>
  </si>
  <si>
    <t>Closed</t>
  </si>
  <si>
    <t>Project Closure Report; Field Issue Summary; Lessons Learned; Maintenance Handover Record; Safety Analysis; Fault Injection Evidence; Safety Case Evidence</t>
  </si>
  <si>
    <t>Operation Data Review; Closure Review; Lessons Learned</t>
  </si>
  <si>
    <t>Project Closure Report; Field Issue Summary; Lessons Learned; Maintenance Handover Record; Feature List; Functional Test Report; Requirements Coverage Report</t>
  </si>
  <si>
    <t>Project Closure Report; Field Issue Summary; Lessons Learned; Maintenance Handover Record; Timing Report; Resource Profiling Report; Capacity Stress Test Report</t>
  </si>
  <si>
    <t>Project Closure Report; Field Issue Summary; Lessons Learned; Maintenance Handover Record; Reliability Test Report; Availability Log; Fault Handling Report</t>
  </si>
  <si>
    <t>Project Closure Report; Field Issue Summary; Lessons Learned; Maintenance Handover Record; Integrity Verification Report; Secure Baseline or Signature Check Record</t>
  </si>
  <si>
    <t>Project Closure Report; Field Issue Summary; Lessons Learned; Maintenance Handover Record; Automated Regression Report; Test Asset Baseline; Test Coverage Report</t>
  </si>
  <si>
    <t>Gate Purpose</t>
  </si>
  <si>
    <t>Generic Pass Rule</t>
  </si>
  <si>
    <t>Conditional Pass Rule</t>
  </si>
  <si>
    <t>Fail Rule</t>
  </si>
  <si>
    <t>Required Approval</t>
  </si>
  <si>
    <t>QG0 Project Scope and Plan</t>
  </si>
  <si>
    <t>Confirm product quality scope, applicable standards, ownership, planning and review strategy.</t>
  </si>
  <si>
    <t>Quality scope, quality gate strategy, applicable standards, ownership, verification strategy and evidence plan are approved.</t>
  </si>
  <si>
    <t>Only minor planning details remain and do not affect mandatory quality attribute coverage.</t>
  </si>
  <si>
    <t>Mandatory product quality attribute, owner, standard, evidence or quality gate strategy is missing.</t>
  </si>
  <si>
    <t>Project Manager; Quality Manager; Safety Manager where safety impacted</t>
  </si>
  <si>
    <t>QG1 Requirement Feasibility</t>
  </si>
  <si>
    <t>Confirm quality requirements are complete, feasible, measurable and traceable.</t>
  </si>
  <si>
    <t>Mandatory quality requirements are complete, feasible, measurable, traceable and reviewed. Safety critical coverage is 100 percent.</t>
  </si>
  <si>
    <t>Non safety critical details remain open with approved owner, due date and risk acceptance.</t>
  </si>
  <si>
    <t>Any safety, core function, timing, reliability, integrity or testability requirement is missing or unverifiable.</t>
  </si>
  <si>
    <t>QG2 Implementation Completed</t>
  </si>
  <si>
    <t>Confirm design and implementation satisfy quality requirements and component tests are completed.</t>
  </si>
  <si>
    <t>Architecture, implementation, reviews, static analysis, unit and component tests are completed with no open blocker.</t>
  </si>
  <si>
    <t>Only non blocking implementation findings remain with approved closure plan.</t>
  </si>
  <si>
    <t>Safety mechanism, key function, integrity protection, fault handling or regression test basis is incomplete.</t>
  </si>
  <si>
    <t>QG3 Software Integrated</t>
  </si>
  <si>
    <t>Confirm integrated software satisfies interface, timing, resource, safety and reliability expectations.</t>
  </si>
  <si>
    <t>Integrated software passes interface, timing, resource, capacity, fault handling and diagnostic verification.</t>
  </si>
  <si>
    <t>Only non release blocking integration findings remain with risk acceptance and retest plan.</t>
  </si>
  <si>
    <t>Interface semantic mismatch, unsafe output, missed deadline, resource overrun, fail safe failure or unstable integration exists.</t>
  </si>
  <si>
    <t>QG4 Ready for Release</t>
  </si>
  <si>
    <t>Confirm release baseline is fully verified and validated with acceptable residual risk.</t>
  </si>
  <si>
    <t>Release baseline is frozen and final V and V proves all mandatory product quality attributes with approved residual risk.</t>
  </si>
  <si>
    <t>Only non safety critical and non release blocking issues are deferred with waiver and customer or internal approval.</t>
  </si>
  <si>
    <t>Open safety blocker, critical function failure, timing/resource failure, reliability failure, integrity failure or unreproducible evidence.</t>
  </si>
  <si>
    <t>QG5 Project Close</t>
  </si>
  <si>
    <t>Confirm operational feedback, residual issues, lessons learned and maintenance handover are closed.</t>
  </si>
  <si>
    <t>Operational feedback, residual issues, archives, lessons learned and maintenance handover are completed.</t>
  </si>
  <si>
    <t>Minor documentation closure remains with owner and date, with no safety or release impact.</t>
  </si>
  <si>
    <t>Unmanaged safety critical field issue, missing archive, unclear maintenance responsibility or untraceable release baseline.</t>
  </si>
  <si>
    <t>Evidence Category</t>
  </si>
  <si>
    <t>Typical Evidence</t>
  </si>
  <si>
    <t>Used Mainly At Gates</t>
  </si>
  <si>
    <t>Quality Attribute Link</t>
  </si>
  <si>
    <t>Acceptance Check</t>
  </si>
  <si>
    <t>Planning</t>
  </si>
  <si>
    <t>Quality Plan; Quality Gate Plan; Role and Responsibility Matrix</t>
  </si>
  <si>
    <t>All high priority product quality attributes</t>
  </si>
  <si>
    <t>Approved and covers all mandatory attributes</t>
  </si>
  <si>
    <t>Requirements</t>
  </si>
  <si>
    <t>System Requirements; Software Requirements; Safety Requirements; Timing and Resource Requirements; Fault Handling Requirements</t>
  </si>
  <si>
    <t>Safety; Functional Suitability; Performance Efficiency; Reliability; Integrity; Testability</t>
  </si>
  <si>
    <t>Complete, feasible, measurable and traceable</t>
  </si>
  <si>
    <t>Architecture and Implementation</t>
  </si>
  <si>
    <t>Architecture Design; Detailed Design; Code or Model Review; Static Analysis; Unit Test</t>
  </si>
  <si>
    <t>Safety; Functional Correctness; Reliability; Integrity; Testability</t>
  </si>
  <si>
    <t>Traceable to requirements and no open blocker</t>
  </si>
  <si>
    <t>Integration</t>
  </si>
  <si>
    <t>Interface Verification; HIL or SIL Report; End-to-End Timing; Resource Profiling; Fault Injection</t>
  </si>
  <si>
    <t>Safe Integration; Time Behaviour; Resource Utilization; Fault Tolerance</t>
  </si>
  <si>
    <t>Executed on integrated baseline and target or representative environment</t>
  </si>
  <si>
    <t>Release V and V</t>
  </si>
  <si>
    <t>Final Verification Report; Validation Report; Safety Case; Release Note; Known Issue List; Waiver Register</t>
  </si>
  <si>
    <t>All mandatory release gates</t>
  </si>
  <si>
    <t>Approved, reproducible, linked to frozen release baseline</t>
  </si>
  <si>
    <t>Operation and Closure</t>
  </si>
  <si>
    <t>Field Issue Summary; Operation Log; Lessons Learned; Maintenance Handover; Test Asset Archive</t>
  </si>
  <si>
    <t>Reliability; Recoverability; Testability; Safety feedback</t>
  </si>
  <si>
    <t>Archived and responsibilities transferred</t>
  </si>
  <si>
    <t>ID</t>
  </si>
  <si>
    <t xml:space="preserve">Quality Goal with conditions </t>
  </si>
  <si>
    <t>Quality requirement Statement</t>
  </si>
  <si>
    <t>Measure ID</t>
  </si>
  <si>
    <t>Quality measure</t>
  </si>
  <si>
    <t>Measurement method</t>
  </si>
  <si>
    <t>Measure Type</t>
  </si>
  <si>
    <t>Analysis/Design</t>
  </si>
  <si>
    <t>Assessment checkpoint</t>
  </si>
  <si>
    <t>Assesment Result 
(PASS/FAIL/N/A)</t>
  </si>
  <si>
    <t>Refred Standard</t>
  </si>
  <si>
    <t>Domian Adaptability</t>
  </si>
  <si>
    <t>ADAS</t>
  </si>
  <si>
    <t>Cloud AI</t>
  </si>
  <si>
    <t>Arene</t>
  </si>
  <si>
    <t>Woven
City</t>
  </si>
  <si>
    <t>FCp-1-G</t>
  </si>
  <si>
    <t>G</t>
  </si>
  <si>
    <t>X ≥ 0.95 (i.e., no more than 5% of specified functions may be missing or incomplete); critical safety functions (AEB, ESC) must achieve X = 1.0</t>
  </si>
  <si>
    <t>O</t>
  </si>
  <si>
    <t>1. System Requirements Review 
2. Validation Test against ADAS Feature List</t>
  </si>
  <si>
    <t>ISO/IEC 25023</t>
  </si>
  <si>
    <t>X = A/B
A = Number of ODD sub-scenarios in which AI produces valid output
B = Total ODD sub-scenarios defined in ODD specification</t>
  </si>
  <si>
    <t>FCp-2-G</t>
  </si>
  <si>
    <t>X = 1 - A/B
A = Number of functional requirements not implemented
B = Total number of specified functional requirements</t>
  </si>
  <si>
    <t>FCr-1-G</t>
  </si>
  <si>
    <t>X = 1 - A/B
A = Number of incorrect functions
B = Number of functions considered</t>
  </si>
  <si>
    <t>1. Function-level Verification Test
2. HILTest 
3. Validation Test</t>
  </si>
  <si>
    <t>X = mAP@IoU0.5
Evaluated on held-out benchmark dataset with ground-truth annotations
mAP = mean Average Precision across all required object classes (vehicle, pedestrian, cyclist, road sign)</t>
  </si>
  <si>
    <t>mAP@IoU0.5 ≥ 0.85: PASS; 0.75–0.84: Marginal (review required); &lt; 0.75: FAIL
Pedestrian precision ≥ 0.90 AND recall ≥ 0.92: PASS; either &lt; 0.85: FAIL
False negative rate (pedestrian) ≤ 5%: PASS; &gt; 8%: FAIL</t>
  </si>
  <si>
    <t>X = A/B
A = Number of lane segments detected within lateral error ≤ 0.1 m
B = Total lane segments in test set</t>
  </si>
  <si>
    <t>X ≥ 0.95: PASS; 0.90–0.94: Marginal; &lt; 0.90: FAIL
False positive rate ≤ 2%: PASS; &gt; 5%: FAIL
Rain/night degradation ≤ 5 pp: PASS; &gt; 10 pp: FAIL</t>
  </si>
  <si>
    <t>FCr-2-G</t>
  </si>
  <si>
    <t>X = 1 - A/B
A = Number of test cases that do not meet the specified threshold
B = Number of test cases evaluating the specific function</t>
  </si>
  <si>
    <t>FCr-3-G</t>
  </si>
  <si>
    <t>X = 1 - A/B
A = Number of test cases that do not meet the required degree of precision
B = Number of test cases evaluating the specific function</t>
  </si>
  <si>
    <t>FAp-1-G</t>
  </si>
  <si>
    <t>X = A/B
A = Number of functions traceable to specified requirements
B = Number of functions considered</t>
  </si>
  <si>
    <t>1. Requirements Traceability Matrix  Review
2. Design Review</t>
  </si>
  <si>
    <t>The ADAS system shall meet the following timing requirements: 
1. object detection latency ≤ 100 ms end-to-end
2. AEB response time from threat detection to brake actuation ≤ 150 ms</t>
  </si>
  <si>
    <t>PTb-1-G</t>
  </si>
  <si>
    <t>X = Σ(Ai)/n
Ai = Time between arrival of i-th request and start of processing
n = Number of requests measured</t>
  </si>
  <si>
    <t>1. Real-Time Performance Benchmark Test (HiL/SiL); 
2. On-vehicle logging with timestamp verification;
3.ISO 26262 timing constraint verification</t>
  </si>
  <si>
    <t>X = Σ(Ai)/n
Ai = End-to-end inference time for i-th frame (sensor input → output tensor)
n = Number of frames under peak load</t>
  </si>
  <si>
    <t>Mean latency ≤ 50 ms: PASS; 51–80 ms: Marginal; &gt; 80 ms: FAIL
99th-percentile ≤ 80 ms: PASS; &gt; 100 ms: FAIL
Thermal-throttled latency ≤ 100 ms: PASS; &gt; 120 ms: FAIL</t>
  </si>
  <si>
    <t>PTb-2-G</t>
  </si>
  <si>
    <t>X = Σ(Ai)/n
Ai = Time taken by the product to respond to i-th request
n = Number of responses measured</t>
  </si>
  <si>
    <t>PTb-3-G</t>
  </si>
  <si>
    <t>X = 1 - A/B
A = Number of response instances not meeting specified response time requirements
B = Number of response time requirements</t>
  </si>
  <si>
    <t>PTb-4-G</t>
  </si>
  <si>
    <t>X = Σ(Bi - Ai)/n
Ai = Time of job submission for process i
Bi = Time of completing job/process i
n = Number of jobs</t>
  </si>
  <si>
    <t>PTb-5-G</t>
  </si>
  <si>
    <t>X = 1 - A/B
A = Number of turnaround instances not meeting specified requirements
B = Number of turnaround time measured</t>
  </si>
  <si>
    <t>PTb-6-G</t>
  </si>
  <si>
    <t>X = Σ(Ai/Bi)/n
Ai = Number of jobs completed during i-th observation time
Bi = Length of observation period i
n = Number of observations</t>
  </si>
  <si>
    <t>PTb-7-G</t>
  </si>
  <si>
    <t>X = 1 - A/B
A = Number of throughputs not meeting requirements
B = Number of throughput requirements</t>
  </si>
  <si>
    <t xml:space="preserve">1. Peak CPU utilization shall not exceed 70% on any core;
2. Mean RAM utilization shall not exceed 80% of available memory; 
3. CAN/Ethernet bandwidth utilization shall not exceed 60% of nominal capacity; </t>
  </si>
  <si>
    <t>PRu-1-G</t>
  </si>
  <si>
    <t>X = Max(A1, A2, ..., An)
Ai = Maximum processor utilization rate during execution of specific product function i
n = Number of observations</t>
  </si>
  <si>
    <t>1. Peak CPU ≤ 70% (PASS), &gt; 85% (FAIL);
2. Peak RAM ≤ 80% (PASS), &gt; 90% (FAIL); 
3.CAN/Ethernet bandwidth ≤ 60% nominal.</t>
  </si>
  <si>
    <t>1. Runtime test under peak load scenario (HiL); 
2. CAN/Ethernet bus load monitoring</t>
  </si>
  <si>
    <t>X = Σ(Ai)/n
Ai = NPU/GPU utilization rate (%) during i-th inference observation
n = Number of observations under nominal load</t>
  </si>
  <si>
    <t>Mean NPU utilization ≤ 70%: PASS; &gt; 85%: FAIL
Peak NPU utilization ≤ 85%: PASS; &gt; 95%: FAIL
Memory footprint ≤ 80% of budget: PASS; &gt; 90%: FAIL</t>
  </si>
  <si>
    <t>PRu-2-G</t>
  </si>
  <si>
    <t>X = Σ(Ai)/n
Ai = Percentage of time a core/processor is occupied in i-th observation
n = Number of observations</t>
  </si>
  <si>
    <t>1. Resource Profiling under peak load scenario (HiL); 
2. Static analysis of worst-case memory footprint; ECU thermal validation test; 
3. CAN/Ethernet bus load monitoring</t>
  </si>
  <si>
    <t>PRu-3-G</t>
  </si>
  <si>
    <t>X = Max(A1, A2, ..., An)
Ai = Maximum memory used to execute product functions in i-th observation
n = Number of observations</t>
  </si>
  <si>
    <t>PRu-4-G</t>
  </si>
  <si>
    <t>X = Σ(Ai)/n
Ai = Size of memory used in i-th observation
n = Number of observations</t>
  </si>
  <si>
    <t>PRu-5-G</t>
  </si>
  <si>
    <t>X = Σ(Ai)/n
Ai = Time between arrival and start of processing in i-th observation
n = Number of requests</t>
  </si>
  <si>
    <t>PRu-6-G</t>
  </si>
  <si>
    <t>X = Max(A1/T1, A2/T2, ..., An/Tn)
Ai = Busy time of I/O device in i-th observation
Ti = Total observation time in i-th observation
n = Number of observations</t>
  </si>
  <si>
    <t>PRu-7-G</t>
  </si>
  <si>
    <t>X = Σ(Ai)/n
Ai = Utilization rate of I/O devices during i-th interval
n = Number of observations</t>
  </si>
  <si>
    <t>PRu-8-G</t>
  </si>
  <si>
    <t>X = Max(A1, A2, ..., An)
Ai = Maximum bandwidth during execution in i-th observation
n = Number of observations</t>
  </si>
  <si>
    <t>PRu-9-G</t>
  </si>
  <si>
    <t>X = Σ(Ai)/n
Ai = Bandwidth used in i-th observation
n = Number of observations</t>
  </si>
  <si>
    <t>PRu-10-G</t>
  </si>
  <si>
    <t>X = Max(A1, A2, ..., An)
Ai = Maximum energy utilization consumed in i-th observation
n = Number of observations</t>
  </si>
  <si>
    <t>PRu-11-G</t>
  </si>
  <si>
    <t>X = Σ(Ai)/n
Ai = Energy consumption in i-th observation
n = Number of observations</t>
  </si>
  <si>
    <t>PRu-12-G</t>
  </si>
  <si>
    <t>X = 1 - A/B
A = Number of resource utilizations not meeting requirements
B = Number of resource utilization requirements</t>
  </si>
  <si>
    <t>PCa-1-G</t>
  </si>
  <si>
    <t>X = Max(A1, A2, ..., An)
Ai = Maximum transactions completed during observation time in i-th observation
n = Number of observations</t>
  </si>
  <si>
    <t>1. System operates at 100% of defined capacity without functional degradation (PASS); system fails or degrades at &lt; 80% of specified capacity (FAIL); 
2. Maximum capacity utilization ≤ 90% under peak ODD conditions</t>
  </si>
  <si>
    <t>1. Capacity Stress Test (HiL with maximum sensor injection);\
2. Multi-object tracking stress test; System overload boundary test; 
3. ODD boundary condition validation</t>
  </si>
  <si>
    <t>PCa-2-G</t>
  </si>
  <si>
    <t>X = Max(A1, A2, ..., An)
Ai = Maximum users simultaneously accessing product in i-th observation
n = Number of observations</t>
  </si>
  <si>
    <t>PCa-3-G</t>
  </si>
  <si>
    <t>X = A/B
A = Number of user accesses the product can accommodate
B = Number of targeted user accesses the product should accommodate</t>
  </si>
  <si>
    <t>PCa-4-G</t>
  </si>
  <si>
    <t>X = 1 - A/B
A = Number of capacities not meeting capacity requirements
B = Number of capacity requirements</t>
  </si>
  <si>
    <t>CCo-1-G</t>
  </si>
  <si>
    <t>X = A/B
A = Number of other products with which this product can interact without negatively affecting their quality
B = Number of other products required to co-exist</t>
  </si>
  <si>
    <t>1. System Integration Test on target vehicle; 
2. CAN/Ethernet bus load monitoring during co-existence.</t>
  </si>
  <si>
    <t>CIn-1-G</t>
  </si>
  <si>
    <t>X = A/B
A = Number of data formats exchangeable with other products
B = Number of data formats specified to be exchangeable</t>
  </si>
  <si>
    <t>1. X ≥ 0.95 for data format exchangeability; 
2. 100% protocol compliance with specified standards (AUTOSAR, SOME/IP); 
3. All external interfaces implemented as specified in ICD</t>
  </si>
  <si>
    <t>1. ICD Review and Verification; 
2. Interface test;
3. V2X interoperability test with roadside units;
3. OTA update protocol validation;.</t>
  </si>
  <si>
    <t>CIn-2-G</t>
  </si>
  <si>
    <t>X = A/B
A = Number of data exchange protocols supported
B = Number of data exchange protocols specified to be supported</t>
  </si>
  <si>
    <t>CIn-3-G</t>
  </si>
  <si>
    <t>X = A/B
A = Number of external interfaces implemented
B = Number of external interfaces specified</t>
  </si>
  <si>
    <t>IAr-1-G</t>
  </si>
  <si>
    <t>X = A/B
A = Number of usage scenarios described explicitly
B = Number of usage scenarios of the product</t>
  </si>
  <si>
    <t xml:space="preserve">1. HMI Usability Study with representative drivers (min. 30 participants); 
2. Task scenario comprehension test; 
3. HMI Design Review; </t>
  </si>
  <si>
    <t>IAr-2-G</t>
  </si>
  <si>
    <t>X = A/B
A = Number of tasks with demonstration features
B = Number of tasks that could benefit from demonstration features</t>
  </si>
  <si>
    <t>1. The HMI shall enable a new driver to correctly operate all primary ADAS functions within 15 minutes without reading the owner's manual; 
2.All HMI functions shall be documented in the user guide with ≥ 95% completeness.</t>
  </si>
  <si>
    <t>ILe-1-G</t>
  </si>
  <si>
    <t>X = A/B
A = Number of functions described in user documentation/help facility as required
B = Number of functions implemented that are required to be documented</t>
  </si>
  <si>
    <t xml:space="preserve">1. New user task completion rate ≥ 90% within 15 minutes on first use (PASS); 
2. User guidance completeness X ≥ 0.95; </t>
  </si>
  <si>
    <t xml:space="preserve">1. First-time driver usability test (novice driver study); 
2. User documentation completeness audit; </t>
  </si>
  <si>
    <t>ILe-2-G</t>
  </si>
  <si>
    <t>X = A/B
A = Number of entry fields with default values automatically filled in
B = Number of entry fields that could have default values</t>
  </si>
  <si>
    <t>ILe-3-G</t>
  </si>
  <si>
    <t>X = (1/n) Σ(Ai/Bi)
Ai = Number of UIs for task i that can be understood without training
Bi = Number of UIs used for task i
n = Total number of tasks</t>
  </si>
  <si>
    <t xml:space="preserve">1. The HMI shall achieve operational consistency across all ADAS functions; 
2. All system messages shall be clear and actionable; </t>
  </si>
  <si>
    <t>IOp-1-G</t>
  </si>
  <si>
    <t>X = 1 - A/B
A = Number of interactive tasks with interfaces exhibiting inconsistencies
B = Total number of interactive tasks in the product</t>
  </si>
  <si>
    <t>1. Operational consistency X ≥ 0.95; 
2. Message clarity X ≥ 0.90; mean eye-off-road time ≤ 2 sec per HMI interaction.</t>
  </si>
  <si>
    <t>1. Driver distraction test (occlusion study / eye tracking); 
2. HMI consistency audit; 
3. On-road usability evaluation.</t>
  </si>
  <si>
    <t>IOp-2-G</t>
  </si>
  <si>
    <t>X = A/B
A = Number of messages conveying the right outcome or instructions
B = Number of messages implemented</t>
  </si>
  <si>
    <t>IOp-3-S</t>
  </si>
  <si>
    <t>X = A/B
A = Number of functions and procedures that can be customized
B = Number of functions and procedures for which customization could benefit users</t>
  </si>
  <si>
    <t>S</t>
  </si>
  <si>
    <t>IOp-4-S</t>
  </si>
  <si>
    <t>X = A/B
A = Number of UI elements that can be customized by users
B = Number of UI elements</t>
  </si>
  <si>
    <t>IOp-5-S</t>
  </si>
  <si>
    <t>X = A/B
A = Number of functions having state monitoring capability
B = Number of functions that could benefit from monitoring capability</t>
  </si>
  <si>
    <t>IOp-6-S</t>
  </si>
  <si>
    <t>X = A/B
A = Number of tasks that provide undo capability or prompt for re-confirmation
B = Number of tasks for which undo/re-confirmation could benefit users</t>
  </si>
  <si>
    <t>IOp-7-S</t>
  </si>
  <si>
    <t>X = A/B
A = Number of information structures familiar and convenient for intended users
B = Number of information structures used</t>
  </si>
  <si>
    <t>IOp-8-S</t>
  </si>
  <si>
    <t>X = 1 - A/B
A = Number of UIs with similar items but different appearances
B = Number of UIs with similar items</t>
  </si>
  <si>
    <t>IOp-9-S</t>
  </si>
  <si>
    <t>X = A/B
A = Number of tasks that can be initiated by all appropriate input modalities
B = Number of tasks supported by the system</t>
  </si>
  <si>
    <t>IEp-1-G</t>
  </si>
  <si>
    <t>X = A/B
A = Number of actions and inputs validated to avoid operation errors
B = Number of user actions and inputs specified to be validated</t>
  </si>
  <si>
    <t>1. Input validation coverage X = 1.0 for safety-critical inputs; 2. Error message resolvability X ≥ 0.90; 
3. System prevents ODD boundary violations: PASS; driver error recovery rate ≥ 90%</t>
  </si>
  <si>
    <t>1.Boundary input test (invalid speed, ODD violation attempts); 
2. Error message review; 
3. Driver error recovery usability test.</t>
  </si>
  <si>
    <t>IEp-2-G</t>
  </si>
  <si>
    <t>X = A/B
A = Number of error messages stating reason and suggesting resolution
B = Number of error messages implemented</t>
  </si>
  <si>
    <t>IEp-3-G</t>
  </si>
  <si>
    <t>X = A/B
A = Number of user entry errors the product corrects or suggests corrections for
B = Number of entry errors detected</t>
  </si>
  <si>
    <t>IEp-4-G</t>
  </si>
  <si>
    <t>X = A/B
A = Number of user operation errors corrected by product to resume nominal operation
B = Number of user operation errors made during operation</t>
  </si>
  <si>
    <t>1. The HMI shall provide engaging and informative feedback for all active ADAS functions; 
2. HMI engagement score shall meet or exceed the Customer-defined target score in user studies, while avoiding automation complacency.</t>
  </si>
  <si>
    <t>IUe-1-G</t>
  </si>
  <si>
    <t>X = A/B
A = Number of interfaces that motivate user engagement
B = Number of interfaces required to motivate user engagement</t>
  </si>
  <si>
    <t>1. Engaging UI coverage X ≥ 0.90 ; 
2.No observed automation complacency incidents in naturalistic driving study</t>
  </si>
  <si>
    <t>1. User engagement questionnaire review;
2. HMI engagement design review</t>
  </si>
  <si>
    <t>1. The HMI shall support all languages and regional variants specified for target markets; 
2. All ADAS functions shall be usable by drivers from all specified cultural groups without language-related functional barriers.</t>
  </si>
  <si>
    <t>IIn-1-G</t>
  </si>
  <si>
    <t>X = A/B
A = Number of functions successfully usable by users from specified language backgrounds
B = Number of functions implemented</t>
  </si>
  <si>
    <t>1. Language inclusivity X ≥ 0.95 for all specified languages; 
2. Culture inclusivity X ≥ 0.95 for all specified cultural groups; 
3. 0 critical localization defects in HMI review</t>
  </si>
  <si>
    <t>1. Localization verification test (per target market language); 
2. Cultural appropriateness review by regional experts; 
3. Native speaker HMI usability evaluation per target market</t>
  </si>
  <si>
    <t>IIn-2-G</t>
  </si>
  <si>
    <t>X = A/B
A = Number of functions successfully usable by users from specified cultural groups
B = Number of functions implemented</t>
  </si>
  <si>
    <t>IUa-1-G</t>
  </si>
  <si>
    <t>X = A/B
A = Number of functions successfully used by users with specific disabilities with assistive technology
B = Number of functions implemented</t>
  </si>
  <si>
    <t>1. Assistive technology coverage X ≥ 0.80 for users with disabilities; 
2. Voice control success rate ≥ 85% for primary ADAS commands.</t>
  </si>
  <si>
    <t>1. Accessibility usability test with participants with disabilities
2. Voice control recognition accuracy test
3. Display contrast ratio measurement.</t>
  </si>
  <si>
    <t>IUa-2-G</t>
  </si>
  <si>
    <t>X = A/B
A = Number of functions users successfully use with assistive technology
B = Number of functions implemented</t>
  </si>
  <si>
    <t>ISd-1-G</t>
  </si>
  <si>
    <t>X = A/B
A = Number of user tasks with understandable information for performing the tasks
B = Number of user tasks</t>
  </si>
  <si>
    <t>1. Self-descriptive UI coverage X ≥ 0.90; 
2. Driver state-identification accuracy ≥ 90% in usability test without manual reference; 3. 0 critical ambiguity defects in HMI review</t>
  </si>
  <si>
    <t>1. Context-understanding usability test (without manual); 
2. HMI information architecture review.</t>
  </si>
  <si>
    <t>1. The ADAS software shall achieve a fault resolution rate ≥ 95% within each development phase; 
2. MTBF for ADAS ECU software shall be ≥ 500 hours in field operation; 
3. Failure rate shall not exceed 1 failure per 1,000 operating hours.</t>
  </si>
  <si>
    <t>RFa-1-G</t>
  </si>
  <si>
    <t>X = A/B
A = Number of faults resolved during development and operation
B = Number of faults detected during development and operation</t>
  </si>
  <si>
    <t>1. Fault resolution rate X ≥ 0.95 (PASS), &lt; 0.90 (FAIL);
2. MTBF ≥ 500 hours (PASS), &lt; 200 hours (FAIL); 
3. Failure rate ≤ 0.001 failures/hour; MTBF improvement ratio ≥ 1.0 (no regression)</t>
  </si>
  <si>
    <t>X = 1 - A/B
A = Number of incorrect outputs produced without any uncertainty/error signal
B = Total inference outputs evaluated</t>
  </si>
  <si>
    <t>X ≥ 0.99: PASS; X &lt; 0.97: FAIL
Uncertainty flagging coverage for low-confidence outputs = 100%: PASS; any missed flag on safety-critical output: FAIL
Safety-critical silent failure count = 0: PASS; ≥ 1: FAIL</t>
  </si>
  <si>
    <t>RFa-2-G</t>
  </si>
  <si>
    <t>X = A/B
A = Operation time
B = Number of product failures that occurred during operation time</t>
  </si>
  <si>
    <t>1. Software Fault Tracking and Resolution Review (per phase); 
2. Field failure data analysis (FTA/FMEA); 
3. Reliability Testing; 
4. ISO 26262 Diagnostic Coverage verification</t>
  </si>
  <si>
    <t>RFa-3-G</t>
  </si>
  <si>
    <t>X = A/B
A = MTBF measured during current operation time
B = MTBF measured during previous operation time</t>
  </si>
  <si>
    <t>RFa-4-G</t>
  </si>
  <si>
    <t>X = A/B
A = Amount of time in which failures are detected
B = Duration of observation period</t>
  </si>
  <si>
    <t>RFa-5-G</t>
  </si>
  <si>
    <t>X = A/B
A = Failure rate measured during current operation time
B = Failure rate measured during previous operation time</t>
  </si>
  <si>
    <t>RAv-1-G</t>
  </si>
  <si>
    <t>X = A/B
A = Product operation time provided
B = Product operation time specified in the operation schedule</t>
  </si>
  <si>
    <t>1. System availability X ≥ 0.995 (PASS), &lt; 0.990 (FAIL);
2.Mean down time ≤ 30 sec for auto-recoverable faults; 
3. Unplanned ADAS unavailability events ≤ 1 per 10,000 km</t>
  </si>
  <si>
    <t>1. Field availability monitoring (OBD/telematics logging); 
2. Reliability Testing; 
3. Unplanned downtime tracking in fleet data.</t>
  </si>
  <si>
    <t>RAv-2-G</t>
  </si>
  <si>
    <t>X = A/B
A = Total down time
B = Number of breakdowns observed</t>
  </si>
  <si>
    <t>RFt-1-G</t>
  </si>
  <si>
    <t>X = A/B
A = Number of fault patterns under control
B = Number of fault patterns causing failure during testing</t>
  </si>
  <si>
    <t>1. Fault detection and mitigation/tolerance rate X ≥ 0.95; 
3. Mean fault notification time ≤ 100 ms for safety-critical faults</t>
  </si>
  <si>
    <t>X = A/B
A = Number of sensor fault scenarios where AI produces safe output or safe fallback
B = Total injected sensor fault scenarios</t>
  </si>
  <si>
    <t>X ≥ 0.95: PASS; X &lt; 0.90: FAIL
Safe degradation activation on complete sensor loss = 100%: PASS; any missed activation: FAIL
Dangerous output without fault signal = 0: PASS; ≥ 1: FAIL</t>
  </si>
  <si>
    <t>RFt-2-G</t>
  </si>
  <si>
    <t>X = A/B
A = Number of test cases that have detected faults during testing or analysis
B = Number of test cases</t>
  </si>
  <si>
    <t>RFt-3-G</t>
  </si>
  <si>
    <t>X = A/B
A = Number of components duplicated
B = Number of components required for duplication</t>
  </si>
  <si>
    <t>RFt-4-G</t>
  </si>
  <si>
    <t>X = Σ(Ai - Bi)/n
Ai = Time at which fault i is reported by the product
Bi = Time at which fault i is detected
n = Number of faults detected</t>
  </si>
  <si>
    <t>RRe-1-G</t>
  </si>
  <si>
    <t>X = Σ(Ai)/n
Ai = Total time to recover and re-initiate operation for i-th failure
n = Number of failures</t>
  </si>
  <si>
    <t>1. Mean recovery time ≤ 200 ms for safety-critical failures (PASS), &gt; 500 ms (FAIL); 
2. Backup data completeness X ≥ 0.95; 
3. System recovers to MRC in 100% of injected fault scenarios</t>
  </si>
  <si>
    <t>RRe-2-G</t>
  </si>
  <si>
    <t>X = Σ(Ai)/n
Ai = Total time to recover the failed component at the specified recovery level for failure i
n = Number of failures</t>
  </si>
  <si>
    <t>RRe-3-G</t>
  </si>
  <si>
    <t>X = A/B
A = Number of data items backed up regularly
B = Number of data items requiring backup for error recovery</t>
  </si>
  <si>
    <t>SCo-1-G</t>
  </si>
  <si>
    <t>X = 1 - A/B
A = Number of confidential data items accessible without authorization
B = Number of data items requiring access control</t>
  </si>
  <si>
    <t>1. Access control X = 1.0 (0 unauthorized accesses); 
2. Encryption correctness X = 1.0; 
3. Cryptographic algorithm strength X = 1.0 (no broken algorithms); 
4. Data transmission protection X = 1.0 for all communication channels</t>
  </si>
  <si>
    <t>SCo-2-G</t>
  </si>
  <si>
    <t>X = A/B
A = Number of access control mechanisms implemented
B = Number of access control mechanisms required to be implemented</t>
  </si>
  <si>
    <t>1. Penetration testing (per ISO/SAE 21434 TARA); 
2. Cryptographic algorithm review; 
3. Access control boundary test; 
4. HSM (Hardware Security Module) integration verification</t>
  </si>
  <si>
    <t>SCo-3-G</t>
  </si>
  <si>
    <t>X = A/B
A = Number of data items encrypted/decrypted correctly
B = Number of data items requiring encryption/decryption</t>
  </si>
  <si>
    <t>SCo-4-G</t>
  </si>
  <si>
    <t>X = 1 - A/B
A = Number of cryptographic algorithms broken or unacceptably risky
B = Number of cryptographic algorithms used</t>
  </si>
  <si>
    <t>SCo-5-G</t>
  </si>
  <si>
    <t>X = A/B
A = Number of data items encrypted using a one-way encryption algorithm
B = Number of data items required to be encrypted using one-way algorithm</t>
  </si>
  <si>
    <t>SCo-6-G</t>
  </si>
  <si>
    <t>X = A/B
A = Number of communication paths transmitting data through a secure cryptographic channel
B = Total number of communication paths transmitting data</t>
  </si>
  <si>
    <t>SCo-7-S</t>
  </si>
  <si>
    <t>X = 1 - A/B
A = Number of unnecessary personal data items among collected personal data
B = Total number of collected personal data items</t>
  </si>
  <si>
    <t>1. The ADAS product shall implement cryptographic integrity verification for all safety-critical software and data; 
2.Any integrity violation shall be detected and reported within 100 ms; 
3. 0 undetected integrity corruption events are permitted.</t>
  </si>
  <si>
    <t>SIn-1-G</t>
  </si>
  <si>
    <t>X = 1 - A/B
A = Number of data items corrupted by unauthorized access, modification or deletion
B = Number of components where internal data corruption prevention is necessary</t>
  </si>
  <si>
    <t>1. Data integrity X = 1.0 (0 undetected corruptions); 
2. Internal data corruption prevention X = 1.0; 
3. Executable file integrity X = 1.0; 
4.Integrity violation response rate = 100% within 100 ms</t>
  </si>
  <si>
    <t>1. Secure Boot verification test; 
2. Fault injection for data corruption detection; 
3. ISO/SAE 21434 integrity verification review.</t>
  </si>
  <si>
    <t>SIn-2-G</t>
  </si>
  <si>
    <t>X = A/B
A = Number of internal data corruption prevention methods implemented
B = Number of components where prevention method is necessary</t>
  </si>
  <si>
    <t>SIn-3-G</t>
  </si>
  <si>
    <t>X = 1 - A/B
A = Number of important executable files modified or deleted due to unauthorized access
B = Total number of important executable files that must be protected</t>
  </si>
  <si>
    <t>SIn-4-G</t>
  </si>
  <si>
    <t>X = A/B
A = Number of response actions implemented when detecting integrity corruption
B = Number of response actions specified to be performed when detecting integrity corruption</t>
  </si>
  <si>
    <t>SNo-1-G</t>
  </si>
  <si>
    <t>X = A/B
A = Number of actions or events successfully proven using specified non-repudiation methods
B = Number of actions or events requiring non-repudiation</t>
  </si>
  <si>
    <t>1. Non-repudiation assurance X = 1.0 for safety events; 
2. Trusted timestamp coverage X = 1.0 for required functions; 
3. Digital signature verification success rate = 100%; 
4. Audit log tamper-evidence verified</t>
  </si>
  <si>
    <t>1. Event log integrity audit; 
2. Digital signature verification test; Trusted timestamp authority  integration test; 
3. Legal evidence chain verification; 4. ISO/SAE 21434 evidence requirements review.</t>
  </si>
  <si>
    <t>SNo-2-G</t>
  </si>
  <si>
    <t>X = A/B
A = Number of non-repudiation methods completely implemented using secure methods
B = Total number of non-repudiation methods required to be implemented</t>
  </si>
  <si>
    <t>SNo-3-G</t>
  </si>
  <si>
    <t>X = A/B
A = Number of functions using trusted timestamps
B = Number of functions requiring trusted timestamps</t>
  </si>
  <si>
    <t>SAc-1-G</t>
  </si>
  <si>
    <t>X = A/B
A = Number of user accesses or activities recorded in logs
B = Number of user accesses or activities required to be recorded in logs</t>
  </si>
  <si>
    <t>1. User audit trail completeness X = 1.0 for all specified events; 
2. Audit log retention X = 1.0 (all log types retained for required period); 
3. Tamper-evident storage implementation verified: PASS</t>
  </si>
  <si>
    <t>1. Audit log completeness test (event injection and log verification); 2. Log retention period verification; Log tamper-resistance test (attempt unauthorized modification);
3. ISO/SAE 21434 audit log requirements review</t>
  </si>
  <si>
    <t>SAc-2-G</t>
  </si>
  <si>
    <t>X = A/B
A = Number of product log types retained in stable storage for specified retention period
B = Number of product log types required to be retained for specified retention period</t>
  </si>
  <si>
    <t>SAc-3-G</t>
  </si>
  <si>
    <t>X = A/B
A = Number of mechanisms for secure and stable audit log retention implemented
B = Number of mechanisms required for secure and stable audit log retention</t>
  </si>
  <si>
    <t>SAu-1-G</t>
  </si>
  <si>
    <t>X = A/B
A = Number of authentication mechanisms implemented
B = Number of authentication mechanisms specified</t>
  </si>
  <si>
    <t>1. Authentication mechanism sufficiency X = 1.0 (all specified mechanisms implemented); 2.Authentication rules conformity X = 1.0; 
3. Authentication protection X = 1.0; 
4. 0 successful authentication bypass events in security testing</t>
  </si>
  <si>
    <t>1. Authentication penetration test; 
2. PKI certificate chain validation; 
3. OTA authentication protocol test; 
4. UDS (Unified Diagnostic Services) authentication test; 
5. V2X PKI credential management verification.</t>
  </si>
  <si>
    <t>SAu-2-G</t>
  </si>
  <si>
    <t>X = A/B
A = Number of authentication rules implemented
B = Number of authentication rules specified</t>
  </si>
  <si>
    <t>SAu-3-G</t>
  </si>
  <si>
    <t>X = A/B
A = Number of implemented authentication protection mechanisms
B = Number of mechanisms required for secure authentication protection</t>
  </si>
  <si>
    <t>SRe-1-G</t>
  </si>
  <si>
    <t>X = A/B
A = Number of penetration attempts that were unsuccessful
B = Total number of penetration attempts during security testing</t>
  </si>
  <si>
    <t>1. Resistance to attacks X ≥ 0.95 (≥95% of penetration attempts unsuccessful); 
2. No critical unmitigated CVEs in middleware/OS; 
3. Sensor spoofing resistance verified for camera, radar, and GNSS; 
4. Replay attack prevention verified</t>
  </si>
  <si>
    <t>1. ISO/SAE 21434 TARA-based penetration testing; 
2. CVE scan of middleware and OS components; 
3. Sensor spoofing test (camera, radar, GNSS); 
4. CAN bus fuzzing test; 
5. Physical access security test</t>
  </si>
  <si>
    <t>X = A/B
A = Number of adversarial attack attempts that failed to cause safety-critical model output error
B = Total adversarial attack attempts in security test</t>
  </si>
  <si>
    <t>Adversarial resistance X ≥ 0.95: PASS; X &lt; 0.90: FAIL
Pedestrian recall under adversarial patch ≥ 0.85: PASS; &lt; 0.80: FAIL
Sensor spoofing detection rate ≥ 0.90: PASS; &lt; 0.80: FAIL</t>
  </si>
  <si>
    <t>SRe-2-G</t>
  </si>
  <si>
    <t>X = 1 - A/B
A = Number of middleware or operating systems with known security vulnerabilities
B = Total number of middleware or operating systems used</t>
  </si>
  <si>
    <t>SRe-3-G</t>
  </si>
  <si>
    <t>X = 1 - A/B
A = Number of middleware exposing important information
B = Total number of middleware used for product operation</t>
  </si>
  <si>
    <t>1. Coupling index X ≥ 0.95 (≥95% of components modifiable without affecting others); 
2. Cyclomatic complexity shall not exceed 10 per module.</t>
  </si>
  <si>
    <t>MMo-1-G</t>
  </si>
  <si>
    <t>X = A/B
A = Number of components implemented with no impact on others
B = Number of specified components required to be independent</t>
  </si>
  <si>
    <t>1. Coupling index X ≥ 0.95
2. cyclomatic complexity ≤ 10 per module (PASS), &gt; 20 (FAIL).</t>
  </si>
  <si>
    <t xml:space="preserve">1. Static code analysis (cyclomatic complexity measurement); 
2. Architecture coupling analysis. </t>
  </si>
  <si>
    <t>MMo-2-G</t>
  </si>
  <si>
    <t>X = 1 - A/B
A = Number of software modules with cyclomatic complexity exceeding specified threshold
B = Number of software modules implemented</t>
  </si>
  <si>
    <t>MRe-1-G</t>
  </si>
  <si>
    <t>X = A/B
A = Number of assets designed and implemented to be reusable
B = Number of assets required to be reusable in a product</t>
  </si>
  <si>
    <t>1. Reusability of assets X ≥ 0.60 (≥60% of assets designed for reuse); 
2. Coding rules conformity X ≥ 0.95; 
3. Reused asset defect rate ≤ reusable asset defect rate (no quality regression from reuse)</t>
  </si>
  <si>
    <t>1. Reuse design review; 
2. Coding standards compliance check (MISRA C, AUTOSAR C++14); 
3. Asset reuse tracking in DOORS/JIRA; 
4.Cross-platform integration test of reused components</t>
  </si>
  <si>
    <t>MRe-2-G</t>
  </si>
  <si>
    <t>X = A/B
A = Number of product modules conforming to coding rules
B = Number of product modules implemented</t>
  </si>
  <si>
    <t>1. The ADAS product shall log ≥ 95% of specified diagnostic-relevant operations; 
2. All implemented diagnostic functions shall be effective in supporting causal analysis; 
3. Logs shall include timestamp, system state, and event context.</t>
  </si>
  <si>
    <t>MAn-1-G</t>
  </si>
  <si>
    <t>X = A/B
A = Number of operations recorded in logs
B = Number of operations for which audit trails are required</t>
  </si>
  <si>
    <t>1. Log completeness X ≥ 0.95; 2. Diagnosis function effectiveness X ≥ 0.90;
3.Diagnosis function sufficiency X ≥ 0.95;</t>
  </si>
  <si>
    <t>MAn-2-G</t>
  </si>
  <si>
    <t>X = A/B
A = Number of diagnostic functions useful for causal analysis
B = Number of diagnostic functions implemented</t>
  </si>
  <si>
    <t>MAn-3-G</t>
  </si>
  <si>
    <t>X = A/B
A = Number of diagnostic functions implemented
B = Number of diagnostic functions required</t>
  </si>
  <si>
    <t>X = A/B
A = Number of AI decision outputs for which an explainability attribution (saliency map / SHAP / attention map) is available and interpretable
B = Total AI decision outputs evaluated</t>
  </si>
  <si>
    <t>XAI coverage X ≥ 0.90: PASS; X &lt; 0.80: FAIL
XAI tool integration in toolchain: PASS; not integrated: FAIL
XAI output generation ≤ 1 sec on dev hardware: PASS; &gt; 5 sec: FAIL
XAI documentation for regulatory submission: PASS; missing: FAIL</t>
  </si>
  <si>
    <t>MMd-1-G</t>
  </si>
  <si>
    <t>X = Σ{Σ(Aij/Bij)/ni}/m
Aij = Actual time for j-th modification of type i
Bij = Expected time for j-th modification of type i
m = Number of modification types
n = Number of modifications per type</t>
  </si>
  <si>
    <t>1. Modification efficiency ratio 0.80 ≤ X ≤ 1.20 (within ±20% of expected time); 
2. Modification capability X ≥ 0.95; 
3. 0 unmanaged safety-critical regressions introduced by modification</t>
  </si>
  <si>
    <t>1. Change impact analysis review; 
2. Regression test suite execution after modification; 
3. Modification time tracking and comparison against plan; 
4. Configuration management audit</t>
  </si>
  <si>
    <t>MMd-2-G</t>
  </si>
  <si>
    <t>X = A/B
A = Number of modifications successfully completed within specified duration without incidents
B = Total number of modifications made</t>
  </si>
  <si>
    <t>MTe-1-G</t>
  </si>
  <si>
    <t>X = A/B
A = Number of test functions implemented as specified
B = Number of test functions specified</t>
  </si>
  <si>
    <t>1. Code coverage measurement (MC/DC analysis tool); 
2. Test case traceability to requirements; 
3. SiL/HiL test execution report; 
4. Test pass rate trend analysis.</t>
  </si>
  <si>
    <t>X = A/B
A = Number of (ODD sub-scenario × AI failure mode) combinations covered by test cases
B = Total (ODD sub-scenario × AI failure mode) combinations in test specification</t>
  </si>
  <si>
    <t>Coverage X ≥ 0.90: PASS; X &lt; 0.80: FAIL
Safety-critical (ODD × failure mode) coverage = 100%: PASS; any gap: FAIL
Statistical confidence ≥ 95% for safety-critical claims: PASS; &lt; 90%: FAIL</t>
  </si>
  <si>
    <t>MTe-2-G</t>
  </si>
  <si>
    <t>X = A/B
A = Number of unique code structural elements covered by test cases
B = Number of unique code structural elements in the product's code</t>
  </si>
  <si>
    <t>MTe-3-G</t>
  </si>
  <si>
    <t>X = A/B
A = Number of tests that can be simulated by stub among tests depending on other products
B = Number of tests which depend on other products</t>
  </si>
  <si>
    <t>MTe-4-G</t>
  </si>
  <si>
    <t>X = A/B
A = Number of cases in which testers can pause and restart test runs at desired points
B = Number of cases in which executing test run can be paused</t>
  </si>
  <si>
    <t>MTe-5-G</t>
  </si>
  <si>
    <t>X = A/B
A = Number of test cases that actually cover the requirements
B = Number of test cases required to cover requirements</t>
  </si>
  <si>
    <t>MTe-6-G</t>
  </si>
  <si>
    <t>X = A/B
A = Number of test cases executed
B = Total number of test cases designed</t>
  </si>
  <si>
    <t>MTe-7-G</t>
  </si>
  <si>
    <t>X = A/B
A = Number of test cases passed
B = Total number of test cases executed</t>
  </si>
  <si>
    <t>FAd-1-G</t>
  </si>
  <si>
    <t>X = 1 - A/B
A = Number of functions not completed or failed in different hardware environments
B = Number of functions tested in different hardware environments</t>
  </si>
  <si>
    <t>1. Hardware adaptability X ≥ 0.95; 
2. System software adaptability X ≥ 0.95; 
3. Operational environment adaptability X ≥ 0.95; 
4. 0 critical platform-specific functional failures at release</t>
  </si>
  <si>
    <t>1. Cross-platform integration test (all target hardware variants); 
2. Environment simulation test (temperature, voltage, electromagnetic environment); 
3. ODD boundary adaptability test</t>
  </si>
  <si>
    <t>FAd-2-G</t>
  </si>
  <si>
    <t>X = 1 - A/B
A = Number of functions not completed or failed in different system software environments
B = Number of functions tested in different system software environments</t>
  </si>
  <si>
    <t>FAd-3-G</t>
  </si>
  <si>
    <t>X = 1 - A/B
A = Number of functions not completed or failed in different operational environments
B = Number of functions tested in different operational environments</t>
  </si>
  <si>
    <t>FSc-1-G</t>
  </si>
  <si>
    <t>X = A/B
A = Number of resources available automatically and immediately
B = Number of configured resources</t>
  </si>
  <si>
    <t>1. Scalability architecture review; 
2. OTA feature deployment test (add new ADAS function via OTA); 3. Resource scaling test (add sensor channel, increase processing allocation); 
4. Load scalability test</t>
  </si>
  <si>
    <t>FSc-2-G</t>
  </si>
  <si>
    <t>X = A/B
A = Amount of resources available automatically and immediately
B = Amount of configured resources</t>
  </si>
  <si>
    <t>FIn-1-G</t>
  </si>
  <si>
    <t>X = Σ(Ai/Bi)/n
Ai = Total work time spent for installation i
Bi = Expected time for installation i
n = Number of installations measured</t>
  </si>
  <si>
    <t>1. EOL installation time measurement; 2. Installation customization functional test; 
3. OTA remote installation test (all target vehicle variants); 
4. Production-line installation audit</t>
  </si>
  <si>
    <t>FIn-2-G</t>
  </si>
  <si>
    <t>X = A/B
A = Number of cases where user succeeds in customizing installation procedure
B = Number of cases where user attempted to customize installation procedure</t>
  </si>
  <si>
    <t>FRe-1-G</t>
  </si>
  <si>
    <t>X = A/B
A = Number of user functions that can be performed without additional learning or workaround
B = Number of user functions in the replaced software product</t>
  </si>
  <si>
    <t>1. Regression usability test with drivers from replaced system; 
2. Data migration verification test; Feature parity review (new vs. replaced system); 
3. Driver preference retention validation</t>
  </si>
  <si>
    <t>FRe-2-G</t>
  </si>
  <si>
    <t>X = A/B
A = Number of quality measures of new product that are better or equal to replaced product
B = Number of quality measures of replaced product that are relevant</t>
  </si>
  <si>
    <t>FRe-3-G</t>
  </si>
  <si>
    <t>X = A/B
A = Number of similar functions that can be easily used in the replaced product
B = Number of similar functions which have to be used in the replaced product</t>
  </si>
  <si>
    <t>FRe-4-G</t>
  </si>
  <si>
    <t>X = A/B
A = Number of data items that can be used continuously as before
B = Number of data items which have to be used continuously in the replaced product</t>
  </si>
  <si>
    <t>SOp-1-G</t>
  </si>
  <si>
    <t>X = A/B
A = Number of internal safety hazards in which the product operated within specified safety parameters
B = Number of internal safety hazards tested</t>
  </si>
  <si>
    <t>1. ODD boundary test (rain, fog, speed limit, road edge scenarios); 
2. MRC transition timing measurement</t>
  </si>
  <si>
    <t>SOp-2-G</t>
  </si>
  <si>
    <t>X = A/B
A = Number of operational safety hazards in which product operated within specified safety parameters
B = Number of operational safety hazards tested</t>
  </si>
  <si>
    <t>SOp-3-G</t>
  </si>
  <si>
    <t>X = A/B
A = Number of potential hazards addressed in the operational domain
B = Number of potential hazards in the operational domain</t>
  </si>
  <si>
    <t>SOp-4-G</t>
  </si>
  <si>
    <t>X = 1 - A/B
A = Number of operation scenarios in which product failed to treat potential hazards
B = Number of operation scenarios corresponding to identified potential hazards</t>
  </si>
  <si>
    <t>X = A/B
A = Number of ODD boundary conditions in which AI correctly constrains output or triggers handover
B = Total ODD boundary conditions tested</t>
  </si>
  <si>
    <t>X ≥ 0.99: PASS; X &lt; 0.95: FAIL
ODD boundary detection latency ≤ 100 ms: PASS; &gt; 200 ms: FAIL
Undetected ODD violation with unsafe output = 0: PASS; ≥ 1: FAIL</t>
  </si>
  <si>
    <t>SRi-1-G</t>
  </si>
  <si>
    <t>X = A/B
A = Number of risk scenarios identified as test cases for the product
B = Number of specified risk scenarios where risks could occur</t>
  </si>
  <si>
    <t>Risk identification coverage X ≥ 0.95; risk handling success rate X ≥ 0.95; mean safety risk level (probability × severity) within acceptable threshold; maximum risk scenario rating ≤ Acceptance Criteria</t>
  </si>
  <si>
    <t>1.ISO 26262 &amp; ISO21448 HARA review
2. Safety case review; 
3. Risk-based test case coverage audit; 
4.Residual risk acceptance committee review</t>
  </si>
  <si>
    <t>X = A/B
A = Number of OOD input scenarios correctly detected and flagged
B = Total OOD input scenarios tested</t>
  </si>
  <si>
    <t>OOD detection coverage X ≥ 0.90: PASS; X &lt; 0.80: FAIL
OOD detection latency ≤ 50 ms: PASS; &gt; 100 ms: FAIL
False positive OOD rate ≤ 5%: PASS; &gt; 10%: FAIL</t>
  </si>
  <si>
    <t>SRi-2-G</t>
  </si>
  <si>
    <t>X = 1 - A/B
A = Number of risk scenarios of operation that failed to be handled
B = Number of specified risk scenarios where identified risks potentially occur</t>
  </si>
  <si>
    <t>SRi-3-G</t>
  </si>
  <si>
    <t>X = (1/n) Σ(Ai · Bi)
Ai = Impact of the i-th risk
Bi = Likelihood of the i-th risk
n = Total number of risks in the specific scenario</t>
  </si>
  <si>
    <t>SRi-4-G</t>
  </si>
  <si>
    <t>X = Σ(Max(Ai1, Ai2, ..., Aik))/n
Ain = Risk rating for risk k in scenario i
k = Number of risks in i-th scenario
n = Number of scenarios</t>
  </si>
  <si>
    <t>SFa-1-G</t>
  </si>
  <si>
    <t>X = A/B
A = Number of risk scenarios in which product automatically transitions to safe mode
B = Number of specified risk scenarios</t>
  </si>
  <si>
    <t>1. Fault injection test; 
2. Safety assurance argument review</t>
  </si>
  <si>
    <t>X = A/B
A = Number of critical AI failure scenarios in which safe degradation mode automatically activates
B = Total defined critical AI failure scenarios</t>
  </si>
  <si>
    <t>Safe degradation activation X = 1.0: PASS; any missed activation on critical scenario: FAIL
Transition time ≤ 100 ms: PASS; &gt; 200 ms: FAIL
Emergency braking available in degraded mode: PASS; not available: FAIL</t>
  </si>
  <si>
    <t>SHa-1-G</t>
  </si>
  <si>
    <t>X = A/B
A = Number of warnings provided within the specified safe time frame
B = Number of warnings expected to be provided within the specified time frame</t>
  </si>
  <si>
    <t>Warning responsiveness X ≥ 0.99 (≥99% of warnings within specified time frame); 
0 missed critical hazard warnings in validation testing</t>
  </si>
  <si>
    <t>1. Hazard warning timing test; 
2. Human factors evaluation of warning salience.</t>
  </si>
  <si>
    <t>SSi-1-G</t>
  </si>
  <si>
    <t>X = A/B
A = Number of safety-related functions that successfully pass safety related testing when applied to integrated system
B = Total number of safety-related functions in the specified product when applied to integrated system</t>
  </si>
  <si>
    <t>Ef-1-G</t>
  </si>
  <si>
    <t>X = A/B
A = Number of unique tasks completed
B = Total number of unique tasks attempted</t>
  </si>
  <si>
    <t>ISO/IEC 25022</t>
  </si>
  <si>
    <t>Ef-2-S</t>
  </si>
  <si>
    <t>{X = 1-ΣAi | X≥0}
Ai = Proportional value of each  missing or incorrect objective in the task output (maximum value = 1)</t>
  </si>
  <si>
    <t>Ef-3-G</t>
  </si>
  <si>
    <t>X = A
A = Number of errors made by the user during a task</t>
  </si>
  <si>
    <t>Ef-4-G</t>
  </si>
  <si>
    <t>X = A/B
A = Number of tasks with errors
B = Total number of tasks</t>
  </si>
  <si>
    <t>Ef-5-G</t>
  </si>
  <si>
    <t>X = A/B
A = Number of users making an error
B= Total number of users performing the task</t>
  </si>
  <si>
    <t>Ey-1-G</t>
  </si>
  <si>
    <t>X = T
T = Task time</t>
  </si>
  <si>
    <t>Ey-2-S</t>
  </si>
  <si>
    <t>X = A/T
A  = Number of objectives achieved
T = Time</t>
  </si>
  <si>
    <t>Ey-3-S</t>
  </si>
  <si>
    <t>X = A/B
A = Total cost of carrying out the task
B = Number of objectives achieved</t>
  </si>
  <si>
    <t>Ey-4-S</t>
  </si>
  <si>
    <t>X = Ta/Tb
Ta = Productive time = time taken to complete the task - time spent getting help or assistance - time taken recovering from errors - time taken searching ineffectually
Tb = Task time</t>
  </si>
  <si>
    <t>Ey-5-S</t>
  </si>
  <si>
    <t>X = A/B
A = Number of actions actually that were not necessary to achieve the task
B = Number of actions performed by the user</t>
  </si>
  <si>
    <t>Ey-6-S</t>
  </si>
  <si>
    <t>X = 1 – A/B
A = Current performance
B = Initial performance</t>
  </si>
  <si>
    <t>SUs-1-G</t>
  </si>
  <si>
    <t>X = ∑Ai
Ai = Response to a question</t>
  </si>
  <si>
    <t>SUs-2-G</t>
  </si>
  <si>
    <t>X = ∑Ai
Ai = Response to a question related to a specific feature</t>
  </si>
  <si>
    <t>SUs-3-G</t>
  </si>
  <si>
    <t>X = A/B
A = Number of users using a specific function, application or system
B = Number of potential users who could have used the specific function, application, or system</t>
  </si>
  <si>
    <t>SUs-4-G</t>
  </si>
  <si>
    <t>X = A/B
A = Number of users using a particular feature
B = Number of users in an identified set of users of the system</t>
  </si>
  <si>
    <t>SUs-5-G</t>
  </si>
  <si>
    <t>X = A/B
A = Number of users complaining
B = Number of users using the system</t>
  </si>
  <si>
    <t>SUs-6-G</t>
  </si>
  <si>
    <t>Proportion of 
user complaints about 
a particular feature</t>
  </si>
  <si>
    <t>X = A/B
A = Number of user complaints for a particular feature
B = Total number of user complaints about features</t>
  </si>
  <si>
    <t>STr-1-G</t>
  </si>
  <si>
    <t>X = A
A = Psychometric scale value from a trust questionnaire</t>
  </si>
  <si>
    <t>SPl-1-G</t>
  </si>
  <si>
    <t>X = A
A = Psychometric scale value from a pleasure questionnaire</t>
  </si>
  <si>
    <t>X = A
A = Psychometric scale value from a comfort questionnaire</t>
  </si>
  <si>
    <t>REc-1-G</t>
  </si>
  <si>
    <t>X = (A – B)/B
A = Additional benefits obtained
B = Invested amount</t>
  </si>
  <si>
    <t>REc-2-G</t>
  </si>
  <si>
    <t>X = T
T = Time to achieve ROI</t>
  </si>
  <si>
    <t>REc-3-G</t>
  </si>
  <si>
    <t>X = Aa/At
A = Profitability or sales of the company (a = actual, t = target)</t>
  </si>
  <si>
    <t>REc-4-G</t>
  </si>
  <si>
    <t>X = Aa/At
A = Measure of the benefits of IT investment (a = actual, t = target)</t>
  </si>
  <si>
    <t>REc-5-S</t>
  </si>
  <si>
    <t>X = A/B
A = Actual level of service
B = Intended level of service</t>
  </si>
  <si>
    <t>REc-6-S</t>
  </si>
  <si>
    <t>X = A/B
A = Number of visitors who become customers
B = Number of unique visitors to a particular web page(s)</t>
  </si>
  <si>
    <t>REc-7-S</t>
  </si>
  <si>
    <t>X = A
A = Revenue from a customer</t>
  </si>
  <si>
    <t>REc-8-G</t>
  </si>
  <si>
    <t>X = A/B
A = Number of errors with economic consequences
B = Total number of usage situations</t>
  </si>
  <si>
    <t>RHe-1-G</t>
  </si>
  <si>
    <t>X = A/B
A = Number of users reporting health problems
B = Total number of users</t>
  </si>
  <si>
    <t>RHe-2-G</t>
  </si>
  <si>
    <t>X=Tb1i=1∑n(Ta,i×Si)
n = Number of affected people
Tai = Length of time for which the i-th person is affected
Si = Degree of significance of the impact on the i-th person
Tb = Length of time from start of system in operation</t>
  </si>
  <si>
    <t>RHe-3-G</t>
  </si>
  <si>
    <t>X = A/B
A = Number of people put at hazard
B = Total number of people who could be affected by use of the system</t>
  </si>
  <si>
    <t>REn-1-G</t>
  </si>
  <si>
    <t xml:space="preserve"> X = Aa/At
A = Environmental impact (a = actual, t = target)</t>
  </si>
  <si>
    <t>CCm-1-G</t>
  </si>
  <si>
    <t>X = A/B
A = Number of contexts with acceptable usability and risk
B = Total number of required distinct contexts of use</t>
  </si>
  <si>
    <t>CFl-1-S</t>
  </si>
  <si>
    <t>X = A/B
A = Number of additional contexts in which the product can be used with acceptable quality in use
B = Total number of additional contexts in which the product might be used</t>
  </si>
  <si>
    <t>CFl-2-S</t>
  </si>
  <si>
    <t>X=B1​i=1∑B​Ai​
Ai = Modifiability (as specified in ISO/IEC 25023) for the i-th requirement
B = Total number of new requirements from specified users</t>
  </si>
  <si>
    <t>CFl-3-S</t>
  </si>
  <si>
    <t>X = A/B
A = Number of additional user groups without specific knowledge, skills or experience who can use the product
B = Total number of potential user groups without specific knowledge, skills, or experience</t>
  </si>
  <si>
    <t>Acc-I-1</t>
  </si>
  <si>
    <t>X=A/B 
A= number of data items  which have related values syntactically accurate  
B= number of data items for  which syntactic accuracy is required</t>
  </si>
  <si>
    <t>ISO/IEC 25024</t>
  </si>
  <si>
    <t>Acc-I-2</t>
  </si>
  <si>
    <t>X=A/B
A= number of data values semantically accurate  
B= number of data values for which semantic accuracy is required</t>
  </si>
  <si>
    <t>Acc-I-3</t>
  </si>
  <si>
    <t>X=A/B 
A= number of data items  measured for accuracy 
B= number of data items for which measurement is  required for accuracy</t>
  </si>
  <si>
    <t>X = A/B
A = Annotated data items (bounding boxes, segmentation masks, lane labels) verified as accurate against ground truth
B = Total annotated items in sampled quality audit</t>
  </si>
  <si>
    <t>Annotation accuracy X ≥ 0.97: PASS; X &lt; 0.93: FAIL
Bounding box IoU (vehicle) ≥ 0.85: PASS; &lt; 0.78: FAIL
Bounding box IoU (pedestrian) ≥ 0.80: PASS; &lt; 0.72: FAIL
Safety-critical annotation error rate ≤ 1%: PASS; &gt; 3%: FAIL</t>
  </si>
  <si>
    <t>Acc-I-4</t>
  </si>
  <si>
    <t>X=A/B 
A= number of data values that are outliers  
B= number of data values to be considered in a data set</t>
  </si>
  <si>
    <t>Acc-I-5</t>
  </si>
  <si>
    <t>X=A/B 
A= number of elements of  the data model that accurately describe the system  
B= number of elements of  the data model that describe the required accuracy within the requirement specification of the system</t>
  </si>
  <si>
    <t>Acc-I-6</t>
  </si>
  <si>
    <t>X=A/B 
A= number of metadata that  provides the appropriate  
required information  
B= number of metadata  defined within the  requirement specification of data</t>
  </si>
  <si>
    <t>Acc-I-7</t>
  </si>
  <si>
    <t>X=A/B  
A= number of data items  having a value included in a  
specified interval (i.e. range  from minimum to maximum)  
B= number of data items for  which can be defined a  
required interval of values</t>
  </si>
  <si>
    <t>Com-I-1</t>
  </si>
  <si>
    <t>X=A/B  
A= number of data items with  associated value not null in a record  
B= number of data items of  the record for which  completeness can be measured</t>
  </si>
  <si>
    <t>Com-I-2</t>
  </si>
  <si>
    <t>X=A/B  
A= number of records with  associated values not null for a specific data item  
B= number of records counted</t>
  </si>
  <si>
    <t>X = A/B
A = ODD sub-scenario categories represented in training dataset with sample count ≥ defined minimum
B = Total ODD sub-scenario categories in data collection specification</t>
  </si>
  <si>
    <t>ODD completeness X ≥ 0.95: PASS; X &lt; 0.85: FAIL
Minimum sample count met for all ODD categories: PASS; any safety-critical category below minimum: FAIL
Data augmentation for underrepresented scenarios documented: PASS; absent: FAIL</t>
  </si>
  <si>
    <t>Com-I-3</t>
  </si>
  <si>
    <t>X=A/B  
A= number of records contained in a data file  
B= number of records expected</t>
  </si>
  <si>
    <t>Com-I-4</t>
  </si>
  <si>
    <t>X=A/B  
A= number of data values for  a data item in a data file  connected to expected values  
B= number of data values expected for a data item in a data file</t>
  </si>
  <si>
    <t>Com-I-5</t>
  </si>
  <si>
    <t>X=1-A/B  
A= number of records where all data items are empty  
B= number of records in a data file</t>
  </si>
  <si>
    <t>Com-I-6</t>
  </si>
  <si>
    <t>X=A/B  
A= number of entities of the conceptual data model  
B= number of entities of the conceptual data model that describe the contextual schema  completely</t>
  </si>
  <si>
    <t>Com-I-7</t>
  </si>
  <si>
    <t>X=A/B  
A= number of attributes defined in the conceptual data model  
B= number of attributes  defined in the conceptual data model that describe the contextual schema completely</t>
  </si>
  <si>
    <t>Com-I-8</t>
  </si>
  <si>
    <t>X=A/B  
A= number of attributes with complete metadata within the data dictionary  
B= number of attributes for which metadata are expected within the data dictionary</t>
  </si>
  <si>
    <t>Con-I-1</t>
  </si>
  <si>
    <t>X=1-A/B  
A= number of data items not consistent by value  
B= number of data items for which referential integrity  must be defined</t>
  </si>
  <si>
    <t>X = A/B
A = Data items with consistent annotations across all sources and time periods
B = Total data items checked for consistency</t>
  </si>
  <si>
    <t>Consistency X ≥ 0.95: PASS; X &lt; 0.90: FAIL
Inter-annotator Kappa ≥ 0.85: PASS; &lt; 0.75: FAIL
Format schema violations = 0: PASS; any critical inconsistency: FAIL</t>
  </si>
  <si>
    <t>Con-I-2</t>
  </si>
  <si>
    <t>X=A/B  
A= number of data items where the format of all  properties is consistent in different data files  
B= number of data items for which format consistency can be defined</t>
  </si>
  <si>
    <t>Con-I-3</t>
  </si>
  <si>
    <t>X=A/B  
A= Number of data items where exist duplication in  value  
B= Number of data items considered</t>
  </si>
  <si>
    <t>Con-I-4</t>
  </si>
  <si>
    <t>X=A/B  
A= Number of elements of an architecture that have a  
corresponding referenced elements in the installed  architecture  
B= Number of elements of the referenced architecture</t>
  </si>
  <si>
    <t>Con-I-5</t>
  </si>
  <si>
    <t>X=A/B  
A= number of data items considered in consistency  measurement of data values  
B= number of data items for which consistency are  measured</t>
  </si>
  <si>
    <t>Con-I-6</t>
  </si>
  <si>
    <t>X=A/B  
A=number of data items where values are semantically correct in the data file  
B=number of data items for which semantic rules are  
defined</t>
  </si>
  <si>
    <t>Cre-I-1</t>
  </si>
  <si>
    <t>X=A/B  
A= number of information items where values are  
validated/certified by a specific process  
B= number of information items to be validated/certified</t>
  </si>
  <si>
    <t>X = A/B
A = Training data items sourced from or validated by qualified, audited data providers
B = Total training data items in dataset</t>
  </si>
  <si>
    <t>Source credibility X ≥ 0.95: PASS; X &lt; 0.90: FAIL
Sensor calibration certificate coverage = 100%: PASS; any missing: FAIL
Consent/privacy compliance documentation = 100%: PASS; any gap: FAIL
Synthetic data realism validation: completed (PASS); not done: FAIL</t>
  </si>
  <si>
    <t>Cre-I-2</t>
  </si>
  <si>
    <t>X=A/B  
A= number of data values provided or validated/certified by a qualified organization  
B= number of data values for which source credibility can be defined</t>
  </si>
  <si>
    <t>Cre-I-3</t>
  </si>
  <si>
    <t>X=A/B  
A= number of information items in the data dictionary for which values are validated/certified by a specific  process  
B= number of information items in the data dictionary</t>
  </si>
  <si>
    <t>Cre-I-4</t>
  </si>
  <si>
    <t>X=A/B  
A= number of elements of a data model with appropriate definition validated/certified by a specific process  
B= number of elements of a data model</t>
  </si>
  <si>
    <t>Cur-I-1</t>
  </si>
  <si>
    <t>X=A/B  
A= number of data items updated with the required  
frequency  
B= number of data items having an update frequency  
requirement.</t>
  </si>
  <si>
    <t>Cur-I-2</t>
  </si>
  <si>
    <t>X=A/B  
A= number of data items timely updated  
B= number of data items needing updating</t>
  </si>
  <si>
    <t>Cur-I-3</t>
  </si>
  <si>
    <t>X=A/B  
A= number of information items with an explicit update  requisition  
B=number of information items for which an update  
requisition is necessary</t>
  </si>
  <si>
    <t>X = A/B
A = Data items refreshed within the required update period
B = Total data items with an update frequency requirement</t>
  </si>
  <si>
    <t>Data freshness X ≥ 0.90: PASS; X &lt; 0.80: FAIL
HD map validation data age ≤ 6 months: PASS; &gt; 12 months: FAIL
Re-validation triggered at ≥ 20% staleness: PASS; not triggered: FAIL</t>
  </si>
  <si>
    <t>Acs-I-1</t>
  </si>
  <si>
    <t>X=A/B  
A= number of data items relevant to the user’s task  within a specific context of use having values accessible by intended users  
B= number of data items that are relevant to the user’s task within the context of use having values that are required to be accessible in conformance to  specification</t>
  </si>
  <si>
    <t>Acs-D-1</t>
  </si>
  <si>
    <t>X=A/B  
A= number of data items with values accessible through a specific device by intended users  
B= number of data items for which device accessibility can be defined</t>
  </si>
  <si>
    <t>Acs-D-2</t>
  </si>
  <si>
    <t>X=1-A/B  
A= number of data items not accessible due its format  
B= number of data items for which format accessibility can be defined</t>
  </si>
  <si>
    <t>Cmp-I-1</t>
  </si>
  <si>
    <t>X=A/B  
A= number of data items that have values and/or format that conform to standards, conventions or regulations  
B= number of data items that shall conform to standards, conventions or regulations due to their value</t>
  </si>
  <si>
    <t>Cmp-D-2</t>
  </si>
  <si>
    <t>X=A/B  
A= number of data items that conforms to standards,  
conventions or regulations due to technology  
B= number of data items that shall conform to standards, conventions or regulations due  
to technology</t>
  </si>
  <si>
    <t>Cnf-I-1</t>
  </si>
  <si>
    <t>X=A/B  
A= number of data values correctly and successfully  
encrypted and decrypted  
B= number of data values with encryption and decryption requirement</t>
  </si>
  <si>
    <t>Cnf-D-1</t>
  </si>
  <si>
    <t>X=1-A/B  
A= number of accesses successfully performed during  formal penetration attempts by unauthorized users to reach target data item in a specific period of time  
B= number of accesses attempted by unauthorized  users to target data item in a specific period of time</t>
  </si>
  <si>
    <t>Eff-I-1</t>
  </si>
  <si>
    <t>X=A/B  
A= number of data items that are stored in a format  
that are qualified as efficient  
B= number of data items for which format is tested for  
efficient operation</t>
  </si>
  <si>
    <t>Eff-I-2</t>
  </si>
  <si>
    <t>X=A/B  
A= number of data values that intended users evaluate as  “easily used”  
B= number of data values evaluated by users</t>
  </si>
  <si>
    <t>Eff-D-1</t>
  </si>
  <si>
    <t>X=1-A/B  
A= size in bytes of record in a data file unnecessarily occupied due to data format definition  
B= size in bytes of record in a data file due to data format definition</t>
  </si>
  <si>
    <t>Eff-D-2</t>
  </si>
  <si>
    <t>X=1-A/B  
A= time lost due to data item representation (data format)  during a work  
B= time of processing</t>
  </si>
  <si>
    <t>Eff-D-3</t>
  </si>
  <si>
    <t>X=SUM (B) – A  
A= size in bytes assumed as target (i.e.: from a benchmark) for efficient data storage of the  
database  
B= size in bytes used for data in any physical data files of the database</t>
  </si>
  <si>
    <t>Eff-D-4</t>
  </si>
  <si>
    <t>X=A/B  
A= size in bytes of space occupied due to records  
duplication in a data file  
B= size in bytes of space occupied due to record without  duplication in the same data file</t>
  </si>
  <si>
    <t>Eff-D-5</t>
  </si>
  <si>
    <t>X=t2-t1  
t1=time when data item is updated in system A  
t2=time when data item is updated in system B</t>
  </si>
  <si>
    <t>Pre-I-1</t>
  </si>
  <si>
    <t>X=A/B  
A= number of data values with the requested precision  
B= number of data values with the precision requirement defined</t>
  </si>
  <si>
    <t>Pre-D-1</t>
  </si>
  <si>
    <t xml:space="preserve"> Precision of data  
format</t>
  </si>
  <si>
    <t>X=A/B  
A= number of data items defined and perceived with the requested precision/data format  
B= number of data items for  which precision of format is required</t>
  </si>
  <si>
    <t>Tra-I-1</t>
  </si>
  <si>
    <t>X=A/B  
A= number of data values for which required access  
traceability of values exist  
B= number of data values for which accessb traceability is expected</t>
  </si>
  <si>
    <t>Tra-D-1</t>
  </si>
  <si>
    <t>X=A/B  
A= number of data items for which user access traceability is expected and realized  
B= number of data items for which user access traceability is expected</t>
  </si>
  <si>
    <t>Tra-D-2</t>
  </si>
  <si>
    <t>X=A/B  
A= number of data items for which values are traceable using  system capabilities  
B= number of data items for  which values aren expected to be traceable using system capabilities</t>
  </si>
  <si>
    <t>Und-I-1</t>
  </si>
  <si>
    <t xml:space="preserve"> Symbols  
understandability</t>
  </si>
  <si>
    <t>X=A/B  
A= number of data values represented by known  
symbols  
B= number of data values for which symbols  understandabiliy is requested</t>
  </si>
  <si>
    <t>Und-I-2</t>
  </si>
  <si>
    <t>Semantic  
understandability</t>
  </si>
  <si>
    <t>X=A/B  
A= number of data values defined in the data dictionary by using a common vocabulary  
B= number of data values definded in the data  dictionary</t>
  </si>
  <si>
    <t>Und-I-3</t>
  </si>
  <si>
    <t>Master data    
understandability</t>
  </si>
  <si>
    <t>X=A/B  
A=number of data items of master data files with  
existing metadata  
B=number of data items of master data files</t>
  </si>
  <si>
    <t>Und-I-4</t>
  </si>
  <si>
    <t xml:space="preserve"> Data values  
understandability</t>
  </si>
  <si>
    <t>X=A/B  
A= number of data values easily understandable by  
intended users  
B= number of data values  that users attempt to  understand during an observation period</t>
  </si>
  <si>
    <t>Und-D-1</t>
  </si>
  <si>
    <t>Data model  
understandability</t>
  </si>
  <si>
    <t>X=A/B 
A= number of elements considered understandable  
in a data model  
B= number of elements provided by a data model</t>
  </si>
  <si>
    <t>Und-D-2</t>
  </si>
  <si>
    <t>Data  
representation  
understandability</t>
  </si>
  <si>
    <t>X=A/B  
A= number of data items considered understandable  
by intended users  
B= number of data items presented in a specific 
device</t>
  </si>
  <si>
    <t>Und-D-3</t>
  </si>
  <si>
    <t>Linked master  
data understandability</t>
  </si>
  <si>
    <t>X=A/B  
A=number of data items of master data files with  
automatic linked understandable metadata  
B=number of data items of master data files</t>
  </si>
  <si>
    <t>Ava-D-1</t>
  </si>
  <si>
    <t xml:space="preserve"> Data availability ratio</t>
  </si>
  <si>
    <t>X=A/B  
A= number of data items available in a specific period of time  
B= number of data items requested in the same period of time</t>
  </si>
  <si>
    <t>The ADAS product shall satisfy the Probability of data  
available requirement as measured by the defined method, achieving the specified target value within tolerance.</t>
  </si>
  <si>
    <t>Ava-D-2</t>
  </si>
  <si>
    <t>Probability of data  
available</t>
  </si>
  <si>
    <t>X=A/B  
A= number of times that data items are available for the requested duration  
B= number of times that data items are requested for the requested duration</t>
  </si>
  <si>
    <t>Review and verification of Probability of data  
available during the applicable development phase; measurement using the defined method against the specified acceptance criteria</t>
  </si>
  <si>
    <t>The ADAS product shall satisfy the  Architecture elements  
availability requirement as measured by the defined method, achieving the specified target value within tolerance.</t>
  </si>
  <si>
    <t>Ava-D-3</t>
  </si>
  <si>
    <t xml:space="preserve"> Architecture elements  
availability</t>
  </si>
  <si>
    <t>X=A/B  
A=number of elements of the architecture available for the intended users  
B= number of elements of the architecture</t>
  </si>
  <si>
    <t>Review and verification of  Architecture elements  
availability during the applicable development phase; measurement using the defined method against the specified acceptance criteria</t>
  </si>
  <si>
    <t>Por-D-1</t>
  </si>
  <si>
    <t>Data portability  
ratio</t>
  </si>
  <si>
    <t>X=A/B  
A= number of data items that preserve existing quality after porting  
B= number of data items ported</t>
  </si>
  <si>
    <t>Por-D-2</t>
  </si>
  <si>
    <t>X=A/B  
A=number of data items that can be moved to a target system  
B= number of data items for which portability is expected</t>
  </si>
  <si>
    <t>Por-D-3</t>
  </si>
  <si>
    <t xml:space="preserve"> Architecture  
elements  
portability</t>
  </si>
  <si>
    <t>X=A/B  
A=number of elements of the architecture are portable for a specific user  
B= number of elements of the architecture required</t>
  </si>
  <si>
    <t>Rec-D-1</t>
  </si>
  <si>
    <t>Data  
recoverability  
ratio</t>
  </si>
  <si>
    <t>X=A/B  
A= number of data items successfully and correctly  
recovered by the system  
B= number of data items that are required to be recovered</t>
  </si>
  <si>
    <t>Rec-D-2</t>
  </si>
  <si>
    <t>X=A/B  
A=number of data items  (or data file) successfully  
backed up periodically 
B=number of data items  (or data file) to be backed up</t>
  </si>
  <si>
    <t>Rec-D-3</t>
  </si>
  <si>
    <t>X=A/B  
A=number of elements of the  architecture successfully recovered  
B=number of elements of the architecture that shall be  managed by back-up/restore procedures</t>
  </si>
  <si>
    <t>Tailoring Proposal</t>
  </si>
  <si>
    <t>2026.5.15</t>
  </si>
  <si>
    <t>Yiqun Wang</t>
  </si>
  <si>
    <t>Rationals</t>
  </si>
  <si>
    <t>理由</t>
  </si>
  <si>
    <t>This characteristic represents the degree to which a product under defined conditions to avoid a state in which human life, health, property, or the environment is endangered. This characteristic is composed of the following sub-characteristics:</t>
  </si>
  <si>
    <t xml:space="preserve">mandotory </t>
  </si>
  <si>
    <t>the most important Qualify Charicteristics to be compliant for ICV development. The following sub Charicteristics of Safety are very roughly metioned in ISO25010, safety related Qualify Charicteristics and methodologies shall be followed according safety related ISO standards, inclduing ISO26262/21448, 8800 and so on|.</t>
  </si>
  <si>
    <t>Degree to which a product or system constrains its operation to within safe parameters or states when encountering operational hazard.</t>
  </si>
  <si>
    <t>It requires constraining operation within safe parameters or states when encountering operational hazards. 
1. Perception must not assert objects/kinematics outside physically plausible or ODD-valid bounds; 
2. Planning must not command manoeuvres outside vehicle/dynamics/legal limits. 
Violations (phantom braking, infeasible trajectories) are direct precursors to harm. L3 typically needs tighter envelopes than comfort-oriented L2.</t>
  </si>
  <si>
    <t>Degree to which a product can identify a course of events or operations that can expose life, property or environment to unacceptable risk.</t>
  </si>
  <si>
    <t>refer to FUSA/SOTIF/AI safety standards</t>
  </si>
  <si>
    <t>Degree to which a product can automatically place itself in a safe operating mode, or to revert to a safe condition in the event of a failure.</t>
  </si>
  <si>
    <t>On failure or implausible input, the product must enter a safe operating mode or revert to a safe condition (25010:2023). AI components must not treat abnormal input as normal (ghost objects, stale frames). Prefer bounded degradation + takeover/exit over high-confidence unsafe commands. Average accuracy is irrelevant if fail-safe paths are untested.</t>
  </si>
  <si>
    <t>Degree to which a product or system provides warnings of unacceptable risks to operations or internal controls so that they can react in sufficient time to sustain safe operations.</t>
  </si>
  <si>
    <t>The product should warn of unacceptable risks so operators or upstream logic can react in time. Mandatory when perception/planning contractually supplies takeover requests, attention alerts, or diagnostic warnings. Pure backend components with warnings owned by another ECU: confirm interface + timing in safe integration tests; full HMI usability may sit with Interaction capability.</t>
  </si>
  <si>
    <t>Degree to which a product can maintain safety during and after integration with one or more components.</t>
  </si>
  <si>
    <t>1. Safety must be maintained during and after integration with other components. Perception/planning failures often appear only in full stack (wrong frame, ID handover, delayed trajectory). 
2. Release assessment must include integrated configurations, not module-only benches.</t>
  </si>
  <si>
    <t>This characteristic represents the degree to which a product or system provides functions that meet stated and implied needs when used under specified conditions. This characteristic is composed of the following sub-characteristics:</t>
  </si>
  <si>
    <t>1. The most fundermental product quality aspect to be handled in Specification based SW-Development.
2. As for Safety/Security quality charicteristics, the safety/Security related functions shall be completeness and correctness implemented.</t>
  </si>
  <si>
    <t>Degree to which the set of functions covers all the specified tasks and intended users' objectives.</t>
  </si>
  <si>
    <t>1. Gaps appear in integration as “the system does not know this risk exists.” 
2. Planning without key constraints (lane bounds, VRU, temporary obstacles) causes silent missed planning; 
3. perception without object classes never triggers downstream logic. 
4. L3 usually requires broader “expected perceive/plan” coverage than many L2 comfort features.</t>
  </si>
  <si>
    <t>Degree to which a product or system provides accurate results when used by intended users.</t>
  </si>
  <si>
    <t>1. Core delivery is correct semantics and spatio-temporal relations. 
2. FN/FP, wrong track association, wrong speed, infeasible corridors, rule- or dynamics-violating plans are functional defects — not fixable by higher FPS. 
3. Wrong outputs become wrong brake/steer intent in L2/L3.</t>
  </si>
  <si>
    <t>Degree to which the functions facilitate the accomplishment of specified tasks and objectives.</t>
  </si>
  <si>
    <t>1. Numerically “right” but wrong interface/semantics causes misuse (e.g. missing confidence → over-trust). 
2. Planning too aggressive/conservative vs feature intent breaks activation or L2/L3 hold. 
3. Ensures right consumers use outputs correctly.</t>
  </si>
  <si>
    <t>This characteristic represents the degree to which a product performs its functions within specified time and throughput parameters and is efficient in the use of resources (such as CPU, memory, storage, network devices, energy, materials...) under specified conditions. This characteristic is composed of the following sub-characteristics:</t>
  </si>
  <si>
    <t>1. the constraints from physical hardware and real world shall be carefully analyzed to avoid product risk in specification based SW^development.  
2. as for the safety, the performance effieiency is major topic addressed in SOTIF.</t>
  </si>
  <si>
    <t>Degree to which the response time and throughput rates of a product or system, when performing its functions, meet requirements.</t>
  </si>
  <si>
    <t>1. Planning on perception at (t-\Delta t): large (\Delta t) = decisions at wrong pose. 
2. Tail latency dominates safety margin in cut-in/merge. 
3. Prove worst/high-percentile delay on target ECU load, not lab-only means.</t>
  </si>
  <si>
    <t>Degree to which the amounts and types of resources used by a product or system, when performing its functions, meet requirements.</t>
  </si>
  <si>
    <t>1. Exhaustion → scheduling degradation, dropped frames, preemption → intermittent perception gaps or planning jumps. 
2. Fixed production ECU: 
3. bench pass / vehicle fail without resource bounds.</t>
  </si>
  <si>
    <t>Degree to which the maximum limits of a product or system parameter meet requirements.</t>
  </si>
  <si>
    <t>1. Defines ceiling in congestion, construction, multi-VRU. 
2. Unreviewed drop policies (far/small/low-conf) may discard nearest threats.</t>
  </si>
  <si>
    <t>Degree to which a system, product or component performs specified functions under specified conditions for a specified period of time. This characteristic is composed of the following sub-characteristics:</t>
  </si>
  <si>
    <t>as the target SWC are safety related components, therefore the fault detection and handling are mandotory to ensure the degraded safe output against abnormal input, timeout, fault detection and so on.</t>
  </si>
  <si>
    <t>Degree to which a system, product or component performs specified functions without fault under normal operation.</t>
  </si>
  <si>
    <t>1. For AI perception/planning: it means under expected ODD and nominal inputs, low rates of functional faults (misdetection, wrong association, infeasible or unsafe plans) — not merely a high score on a narrow benchmark. One strong KPI on a demo set does not demonstrate faultlessness. 
2. L3 typically require evidence across long-tail and varied nominal conditions, with post-release defect convergence. Distinct from fault tolerance, which applies when operation is no longer “normal.”</t>
  </si>
  <si>
    <t>Degree to which a system, product or component is operational and accessible when required for use.</t>
  </si>
  <si>
    <t>1. L2/L3 often exit when perception/planning unavailable. 
2. Need safe unavailable state (explicit fault, not “no output = OK”).</t>
  </si>
  <si>
    <t>Degree to which a system, product or component operates as intended despite the presence of hardware or software faults.</t>
  </si>
  <si>
    <t>1. Must not treat abnormal as normal (phantom objects, ghost zero-speed). 
2. Limit dangerous outputs; 
3. conservative hold, lane keep, takeover request.</t>
  </si>
  <si>
    <t>Degree to which, in the event of an interruption or a failure, a product or system can recover the data directly affected and re-establish the desired state of the system.</t>
  </si>
  <si>
    <t>1. Too fast → output jitter; 
2. too slow → prolonged unavailability. 
3. Prove stability vs availability trade-off.</t>
  </si>
  <si>
    <t>Degree to which a product or system defends against attack patterns by malicious actos and protects information and data so that persons or other products or systems have the degree of data access appropriate to their types and levels of authorization. This characteristic is composed of the following sub-characteristics:</t>
  </si>
  <si>
    <t>△</t>
  </si>
  <si>
    <t>1. Security Control is designed by system Tire1, and security of ASW and Data shall be protected by H/W and BSW means which out of product scope.
2. However availability and effectiveness pf security control for idenfied Critical Assets of SWC need to be verified.
3. in addtion, vunerability scan is required for third party code.</t>
  </si>
  <si>
    <t>Degree to which a product or system ensures that data are accessible only to those authorized to have access.</t>
  </si>
  <si>
    <t>Degree to which a system, product or component ensures that the state of its system and data are protected from unauthorized modification or deletion either by malicious action or computer error.</t>
  </si>
  <si>
    <t xml:space="preserve">1. Tampered input, Model/config and storage will affect whole-vehicle behaviour; </t>
  </si>
  <si>
    <t>Degree to which actions or events can be proven to have taken place so that the events or actions cannot be repudiated later.</t>
  </si>
  <si>
    <t xml:space="preserve">Accountability </t>
  </si>
  <si>
    <t>Degree to which the actions of an entity can be traced uniquely to the entity.</t>
  </si>
  <si>
    <t xml:space="preserve">Authenticity </t>
  </si>
  <si>
    <t>Degree to which the identity of a subject or resource can be proved to be the one claimed.</t>
  </si>
  <si>
    <t>Degree to which the product or system sustains operations while under attack from a malicious actor.</t>
  </si>
  <si>
    <t>This characteristic represents the degree of effectiveness and efficiency with which a product or system can be modified to improve it, correct it or adapt it to changes in environment, and in requirements. This characteristic is composed of the following sub-characteristics:</t>
  </si>
  <si>
    <t xml:space="preserve">AI model should be effciently reproduced and re verified in case of dataset, scenarios, algothm updating. </t>
  </si>
  <si>
    <t>Degree to which a system or computer program is composed of discrete components such that a change to one component has minimal impact on other components.</t>
  </si>
  <si>
    <t>Degree to which a product can be used as an asset in more than one system, or in building other assets.</t>
  </si>
  <si>
    <t xml:space="preserve">Analysability </t>
  </si>
  <si>
    <t>Degree of effectiveness and efficiency with which it is possible to assess the impact on a product or system of an intended change to one or more of its parts, to diagnose a product for deficiencies or causes of failures, or to identify parts to be modified.</t>
  </si>
  <si>
    <t>Degree to which a product or system can be effectively and efficiently modified without introducing defects or degrading existing product quality.</t>
  </si>
  <si>
    <t>Degree of effectiveness and efficiency with which test criteria can be established for a system, product or component and tests can be performed to determine whether those criteria have been met.</t>
  </si>
  <si>
    <t>Without repeatable automated test, no regression proof per release.</t>
  </si>
  <si>
    <t>Degree to which a product, system or component can exchange information with other products, systems or components, and/or perform its required functions while sharing the same common environment and resources. This characteristic is composed of the following sub-characteristics:</t>
  </si>
  <si>
    <t>NA</t>
  </si>
  <si>
    <t>Architecture and I/F design is performed by other stakeholder:</t>
  </si>
  <si>
    <t>Degree to which a product can perform its required functions efficiently while sharing a common environment and resources with other products, without detrimental impact on any other product.</t>
  </si>
  <si>
    <t>Degree to which a system, product or component can exchange information with other products and mutually use the information that has been exchanged.</t>
  </si>
  <si>
    <t>Degree to which a product or system can be interacted with by specified users to exchange information ia the user interfaceto complete specific tasks in a variety of contexts of use. This characteristic is composed of the following sub-characteristics:</t>
  </si>
  <si>
    <t xml:space="preserve">Interaction with external User is designed by OEM and system Tire1. </t>
  </si>
  <si>
    <t>Appropriateness recognizability</t>
  </si>
  <si>
    <t>Degree to which users can recognize whether a product or system is appropriate for their needs.</t>
  </si>
  <si>
    <t>Degree to which the functions of a product or system can be learnt to be used by specified users within a specified amount of time.</t>
  </si>
  <si>
    <t>Degree to which a product or system has attributes that make it easy to operate and control.</t>
  </si>
  <si>
    <t>User error protection</t>
  </si>
  <si>
    <t>Degree to which a system prevents users against operation errors.</t>
  </si>
  <si>
    <t>User engagement</t>
  </si>
  <si>
    <t>Degree to which a user interface presents functions and information in an inviting and motivating manner encouraging continued interaction.</t>
  </si>
  <si>
    <t>Degree to which a product or system can be used by people of various backgrounds (such as people of various ages, abilities, cultures, ethnicities, languages, genders, economic situations, etc.).</t>
  </si>
  <si>
    <t>User assistance</t>
  </si>
  <si>
    <t>Degree to which a product can be used by people with the widest range of characteristics and capabilities to achieve specified goals in a specified context of use.</t>
  </si>
  <si>
    <t xml:space="preserve">Self-descriptiveness </t>
  </si>
  <si>
    <t>Degree to wich a product presents appropriate information, where needed by the user, to make its capabilities and use immediately obvious to the user without excessive interactions with a product or other resources (such as user documentation, help desks or other users).</t>
  </si>
  <si>
    <t>Degree to which a product can be adapted to changes in its requirements, contexts of use or sys tem environment. This characteristic is composed of the following sub-characteristics:</t>
  </si>
  <si>
    <t>in case Product Vaiants, sensor change taken into account, then the protability capability need to be confirmed whether affect the safety-critical behavioral boundaries in Safety analysis.</t>
  </si>
  <si>
    <t>Degree to which a product or system can effectively and efficiently be adapted for or transferred to different hardware, software or other operational or usage environments.</t>
  </si>
  <si>
    <t>Degree to which a product can handle growing or shrinking workloads or to adapt its capacity to handle variability.</t>
  </si>
  <si>
    <t>Degree of effectiveness and efficiency with which a product or system can be successfully installed and/or uninstalled in a specified environment.</t>
  </si>
  <si>
    <t>Degree to which a product can replace another specified software product for the same purpose in the same environment.</t>
  </si>
  <si>
    <t>Data quality</t>
  </si>
  <si>
    <t>A: Inherent data quality</t>
  </si>
  <si>
    <t>Description</t>
  </si>
  <si>
    <t>accuracy</t>
  </si>
  <si>
    <t>Syntactic accuracy</t>
  </si>
  <si>
    <t>Syntactic errors cause parse failures or silent misreads (e.g. m vs cm, wrong yaw units). These do not show up as “bad model” but as invalid training targets while metrics may still converge. Must be blocked automatically before ingestion and release gates.</t>
  </si>
  <si>
    <t>Semantic accuracy</t>
  </si>
  <si>
    <t>Semantic errors teach the model wrong behaviour: pedestrian as background, drivable as obstacle → unsafe manoeuvres in planning. Wrong behaviour or constraint semantics are equivalent to teaching violation of safety rules. L3 typically requires stricter semantic accuracy on safety-critical classes than many L2 comfort features.</t>
  </si>
  <si>
    <t>Missing scenario types or attributes mean the model never saw correct supervision for those real conditions → systematic misses or default conservative/aggressive behaviour. Planning without narrow road, construction, or abnormal obstacle data has no valid policy in those conditions. Completeness must trace to Scenario &amp; ODD governance requirement IDs.</t>
  </si>
  <si>
    <t>Inconsistency yields contradictory supervision (same visual pattern, different labels), hurting convergence and causing unexplained failures. Merging datasets with inconsistent metadata or specs can produce illusory benchmark gains. Train/val/test leakage checks are mandatory release-gate items alongside consistency.</t>
  </si>
  <si>
    <t>Data source registration; vehicle/sensor configuration records; simulation assumptions and domain-gap analysis; third-party licences and known biases; authoritative labeling process for golden sets</t>
  </si>
  <si>
    <t>Training perception on outdated HD maps or lane markings causes systematic errors at construction reroutes. Planning labels with outdated traffic rules or speed limits teach illegal or unsafe policies. Before each release, assess whether data age exceeds ODD change thresholds.</t>
  </si>
  <si>
    <t>A＋B system-dependent data quality</t>
  </si>
  <si>
    <t>Unavailable golden sets at release force ad-hoc set swaps, breaking comparability. Training pipelines using incomplete shards after storage outages introduce hidden sample bias.</t>
  </si>
  <si>
    <t>Portability</t>
  </si>
  <si>
    <t>Multi-region training and remote V&amp;V need portability; lost metadata during migration causes label/sensor channel misalignment. Reuse across vehicle programs requires evidence that data are not only copyable but usable.</t>
  </si>
  <si>
    <t>Accidental deletion or ransomware on train/val sets prevents reproducible evaluation of released models and blocks compliance/incident investigation. Safety-critical programs usually require gold/val sets recoverable to defined points in time.</t>
  </si>
  <si>
    <t>B system-dependent data quality</t>
  </si>
  <si>
    <t>Unstable access to approved versions leads to wrong-version use or ungoverned private copies. Poor accessibility slows incident reproduction and regression, indirectly harming the safety feedback loop.</t>
  </si>
  <si>
    <t>Road imagery often contains faces and plates; non-compliant training or sharing creates legal risk and project stop. Compliance gaps also invalidate safety assessment evidence.</t>
  </si>
  <si>
    <t>Leak of unreleased routes or prototype data creates competitive and safety risk. Weak confidentiality in labeling outsourcing risks training data and model exfiltration.</t>
  </si>
  <si>
    <t>ISO precision is granularity/discrimination, not correctness (accuracy). Insufficient resolution (1 m boxes for close VRU, coarse trajectory sampling) cannot support safe L2/L3 decisions even if labels are “semantically right.” Perception fusion and planning cost maps need declared minimum fineness per ODD.</t>
  </si>
  <si>
    <t>Traceability</t>
  </si>
  <si>
    <t>Required for release forensics, incident replay, and regulatory evidence. Without traceability, “which data trained which model” is unknowable — a common ADS audit failure. Distinct from credibility (believability of source) and confidentiality (protection from disclosure).</t>
  </si>
  <si>
    <t>Assessors, labelers, and cross-team consumers must interpret data without private conventions. Poor understandability drives mis-filtering, wrong merges, and silent misuse of datasets. Metadata is explicitly in scope per the standard.</t>
  </si>
  <si>
    <t>Mapping Between ISO8800 with ISO25012</t>
  </si>
  <si>
    <t>2026.5.19</t>
  </si>
  <si>
    <t>AI Data Safety Properties</t>
  </si>
  <si>
    <t>Definition</t>
  </si>
  <si>
    <t>Mapping to ISO/IEC 25012</t>
  </si>
  <si>
    <t>Tailoring</t>
  </si>
  <si>
    <t>Rational</t>
  </si>
  <si>
    <t>Dataset insufficiency example from ISO8800</t>
  </si>
  <si>
    <t>The data correspond to their source with respect to semantical representation and interpretation.</t>
  </si>
  <si>
    <t>Accuracy (syntactic + semantic accuracy )</t>
  </si>
  <si>
    <t>1.Schema/format, units, frames, calibration match; blocks silent misreads in fusion labels.
2. Wrong labels teach unsafe behaviour, it links to SOTIF/8800 functional insufficiency.</t>
  </si>
  <si>
    <t>1. The resolution of camera images is not sufficient according to expected AI model inputs for object detection.
2. An AI system operates with sensors detecting certain types of obstacles at a given distance range and high speed, but the camera used is not adapted for the range and speed, yielding blurry images.</t>
  </si>
  <si>
    <t>The data elements (including metadata) are populated and the data have defined coverage of the input space, safety-relevant cases and plausible data perturbations.</t>
  </si>
  <si>
    <t xml:space="preserve">Not only volume, dataset shall cover ODD and safety-critical scenarios, otherwise the training AI model cannot recoganize the scene and obstacles. </t>
  </si>
  <si>
    <t>1. Few images have obstacles close to the camera in a dataset for obstacle detection.
2. No night images are in the dataset even though the input space includes night-time.</t>
  </si>
  <si>
    <t>Correctness (or fidelity)</t>
  </si>
  <si>
    <t>The data correspond to the phenomenon they intend to capture and include features and metadata which help to characterize the phenomenon.</t>
  </si>
  <si>
    <t>Semantic accuracy + Consistency</t>
  </si>
  <si>
    <t>As for the supervised AI training, correctness is the most fundermental safety property. i.e. wrong input leads wrong outputs.</t>
  </si>
  <si>
    <t>1. Annotators manually create bounding boxes around objects inconsistently, which leads to object size per scenario to be calculated differently.
2.A scene is marked as rain by an annotator although it is in snow.</t>
  </si>
  <si>
    <t>Independence of datasets</t>
  </si>
  <si>
    <t>The datasets sufficiently avoid leakage of information amongst themselves with respect to data sources and the methods used to capture, gather, generate and process the data.</t>
  </si>
  <si>
    <t>(1) in addtion to Consistency + Credibility; 
(2) New separate objective view from AI data safety aspect.</t>
  </si>
  <si>
    <t>To claim that an AI product is truly safe, it is necessary to evaluate the performance of the AI model in an objective manner. For this purpose, independence between the training dataset and the validation dataset is essential.</t>
  </si>
  <si>
    <t>1. One frame in a sequence is in the AI test dataset and the next frame is in the training dataset. Due to frame rate, the frames are nearly identical.
2. One frame of a certain geo-position is in the AI test dataset and another taken later at the same geo-position is in the training dataset. For object detection, this can compromise the independence of the datasets.</t>
  </si>
  <si>
    <t>The data are not altered by natural phenomenon (e.g. noise) or intentional action (e.g. usage of lossy data compression without consideration of impact to model, poisoning).</t>
  </si>
  <si>
    <t>Syntactic accuracy + Consistency</t>
  </si>
  <si>
    <t>To protect the AI product not be changed against the intended cyber threat/attack, or human error.</t>
  </si>
  <si>
    <t>1.Corruption of hardware storage introduces error(s) in the dataset.
2.Untrained/careless user inadvertently introduces inconsistent data element (e.g. altered label).</t>
  </si>
  <si>
    <t>Representativeness</t>
  </si>
  <si>
    <t>The distribution of data corresponds to the information in the environment of the phenomenon to be captured; it is free of biases.</t>
  </si>
  <si>
    <t>(1) in addtion to Completeness + Credibility
(2) New separate objective view from AI data safety aspect.</t>
  </si>
  <si>
    <t>To claim that an AI product is truly safe, it is necessary to substantiate that the problem space has been sufficiently covered. It must demonstrate that both AI training and validation were conducted using dataset that adequately represent the problem space, particularly with respect to achieving the required basic functions and performance.</t>
  </si>
  <si>
    <t>1.An AI system for driver monitoring is going to be used in a region where drivers have an even distribution from 20 years old to 100 years old, but the dataset does not contain drivers above 80 years old.
2.AI datasets collected by a heavy truck fleet can have geospatial bias for an AI system intended to perceive aspects of roadways with weight limits.</t>
  </si>
  <si>
    <t>Temporality</t>
  </si>
  <si>
    <t>The data gives sufficient consideration to time-based characteristics (e.g. timeliness, ageing, lifetime, time contributing to distribution shift).</t>
  </si>
  <si>
    <t xml:space="preserve">to evaluate the basic functionality and performance of AI product, Temporality is lower priority compared with other properties for the product assessment </t>
  </si>
  <si>
    <t>COVID-19 induced change in distribution of people wearing face masks, but the dataset for a driver monitoring system does not consider this.</t>
  </si>
  <si>
    <t>The derivation of the data from their origin (including information on how they were captured, gathered, generated and processed) is demonstrated.</t>
  </si>
  <si>
    <t xml:space="preserve">In the data engineering processes, traceability are required through the data life cycle, across data requirements, design, production and V&amp;V to show the datasets are completely, correctly and properly produced against human specified demand.
</t>
  </si>
  <si>
    <t>1.An image lacking information on its source appears to be complete under simple visual inspection and is integrated into a dataset.
2.Two datasets containing the same category of data are integrated into a single dataset without their metadata and attributes. The original datasets and their metadata are deleted.</t>
  </si>
  <si>
    <t>Verifiability</t>
  </si>
  <si>
    <t>The data include sufficient features to be amenable for verification as prescribed by their requirements and properties.</t>
  </si>
  <si>
    <t>Understandability + Traceability + process evidence</t>
  </si>
  <si>
    <t>To avoid to training AI model by using wrong dataset, it is  mandatory to perform V&amp;V to demostrate the dataset has been correctly, completely and properly created according to the dataset requirements and design.</t>
  </si>
  <si>
    <t>1. Dataset images cover a certain period of the year (e.g. autumn and winter), but the camera was not correctly configured with the actual date and the respective metadata is unreliable.
2. Different camera vendors and brands were used to ensure the independence of the data. However, all images were mixed and processed together and the technical means were not recorded.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</si>
</sst>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font>
      <sz val="11"/>
      <color rgb="FF000000"/>
      <name val="Carlito"/>
      <scheme val="minor"/>
    </font>
    <font>
      <b/>
      <sz val="11"/>
      <color rgb="FFFFFFFF"/>
      <name val="Carlito"/>
    </font>
    <font>
      <sz val="10"/>
      <color theme="1"/>
      <name val="Carlito"/>
    </font>
    <font>
      <b/>
      <sz val="10"/>
      <color rgb="FFFFFFFF"/>
      <name val="Carlito"/>
    </font>
    <font>
      <b/>
      <sz val="10"/>
      <color rgb="FFFFFFFF"/>
      <name val="Calibri"/>
    </font>
    <font>
      <sz val="10"/>
      <color theme="1"/>
      <name val="Calibri"/>
    </font>
    <font>
      <sz val="11"/>
      <color theme="1"/>
      <name val="Carlito"/>
    </font>
    <font>
      <b/>
      <sz val="9"/>
      <color rgb="FFFFFFFF"/>
      <name val="Arial"/>
    </font>
    <font>
      <sz val="11"/>
      <name val="Carlito"/>
    </font>
    <font>
      <sz val="9"/>
      <color theme="1"/>
      <name val="Arial"/>
    </font>
    <font>
      <sz val="12"/>
      <color rgb="FF000000"/>
      <name val="Helvetica Neue"/>
    </font>
    <font>
      <sz val="12"/>
      <color theme="1"/>
      <name val="Helvetica Neue"/>
    </font>
    <font>
      <sz val="12"/>
      <color rgb="FF444444"/>
      <name val="Helvetica Neue"/>
    </font>
    <font>
      <sz val="12"/>
      <color rgb="FF0077BB"/>
      <name val="Helvetica Neue"/>
    </font>
    <font>
      <sz val="12"/>
      <color rgb="FFFFFFFF"/>
      <name val="Helvetica Neue"/>
    </font>
    <font>
      <sz val="11"/>
      <color rgb="FF000000"/>
      <name val="&quot;ＭＳ Ｐゴシック&quot;"/>
    </font>
    <font>
      <sz val="11"/>
      <color rgb="FFFFFFFF"/>
      <name val="&quot;ＭＳ Ｐゴシック&quot;"/>
    </font>
  </fonts>
  <fills count="16">
    <fill>
      <patternFill patternType="none"/>
    </fill>
    <fill>
      <patternFill patternType="gray125"/>
    </fill>
    <fill>
      <patternFill patternType="solid">
        <fgColor rgb="FF1F4E78"/>
        <bgColor rgb="FF1F4E78"/>
      </patternFill>
    </fill>
    <fill>
      <patternFill patternType="solid">
        <fgColor theme="4"/>
        <bgColor theme="4"/>
      </patternFill>
    </fill>
    <fill>
      <patternFill patternType="solid">
        <fgColor rgb="FFC1E4F5"/>
        <bgColor rgb="FFC1E4F5"/>
      </patternFill>
    </fill>
    <fill>
      <patternFill patternType="solid">
        <fgColor theme="0"/>
        <bgColor theme="0"/>
      </patternFill>
    </fill>
    <fill>
      <patternFill patternType="solid">
        <fgColor rgb="FF1F3864"/>
        <bgColor rgb="FF1F3864"/>
      </patternFill>
    </fill>
    <fill>
      <patternFill patternType="solid">
        <fgColor rgb="FFCAEDFB"/>
        <bgColor rgb="FFCAEDFB"/>
      </patternFill>
    </fill>
    <fill>
      <patternFill patternType="solid">
        <fgColor rgb="FFFAE2D5"/>
        <bgColor rgb="FFFAE2D5"/>
      </patternFill>
    </fill>
    <fill>
      <patternFill patternType="solid">
        <fgColor rgb="FFD9F2D0"/>
        <bgColor rgb="FFD9F2D0"/>
      </patternFill>
    </fill>
    <fill>
      <patternFill patternType="solid">
        <fgColor rgb="FFFFFFFF"/>
        <bgColor rgb="FFFFFFFF"/>
      </patternFill>
    </fill>
    <fill>
      <patternFill patternType="solid">
        <fgColor rgb="FF20124D"/>
        <bgColor rgb="FF20124D"/>
      </patternFill>
    </fill>
    <fill>
      <patternFill patternType="solid">
        <fgColor rgb="FFC9DAF8"/>
        <bgColor rgb="FFC9DAF8"/>
      </patternFill>
    </fill>
    <fill>
      <patternFill patternType="solid">
        <fgColor rgb="FFFFF2CC"/>
        <bgColor rgb="FFFFF2CC"/>
      </patternFill>
    </fill>
    <fill>
      <patternFill patternType="solid">
        <fgColor rgb="FFD9D9D9"/>
        <bgColor rgb="FFD9D9D9"/>
      </patternFill>
    </fill>
    <fill>
      <patternFill patternType="solid">
        <fgColor rgb="FF073763"/>
        <bgColor rgb="FF073763"/>
      </patternFill>
    </fill>
  </fills>
  <borders count="15">
    <border>
      <left/>
      <right/>
      <top/>
      <bottom/>
      <diagonal/>
    </border>
    <border>
      <left/>
      <right/>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theme="0"/>
      </right>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style="thin">
        <color theme="1"/>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s>
  <cellStyleXfs count="1">
    <xf numFmtId="0" fontId="0" fillId="0" borderId="0"/>
  </cellStyleXfs>
  <cellXfs count="93">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top" wrapText="1"/>
    </xf>
    <xf numFmtId="0" fontId="1" fillId="3" borderId="1" xfId="0" applyFont="1" applyFill="1" applyBorder="1" applyAlignment="1">
      <alignment horizontal="center" vertical="center" wrapText="1"/>
    </xf>
    <xf numFmtId="0" fontId="2" fillId="4" borderId="0" xfId="0" applyFont="1" applyFill="1" applyAlignment="1">
      <alignment vertical="top" wrapText="1"/>
    </xf>
    <xf numFmtId="0" fontId="2" fillId="5" borderId="0" xfId="0" applyFont="1" applyFill="1" applyAlignment="1">
      <alignment vertical="top" wrapText="1"/>
    </xf>
    <xf numFmtId="0" fontId="3" fillId="2" borderId="1" xfId="0" applyFont="1" applyFill="1" applyBorder="1" applyAlignment="1">
      <alignment vertical="top" wrapText="1"/>
    </xf>
    <xf numFmtId="0" fontId="4" fillId="2" borderId="1" xfId="0" applyFont="1" applyFill="1" applyBorder="1" applyAlignment="1">
      <alignment horizontal="center" vertical="top" wrapText="1"/>
    </xf>
    <xf numFmtId="0" fontId="5" fillId="0" borderId="0" xfId="0" applyFont="1" applyAlignment="1">
      <alignment wrapText="1"/>
    </xf>
    <xf numFmtId="0" fontId="6" fillId="0" borderId="0" xfId="0" applyFont="1" applyAlignment="1">
      <alignment vertical="top" wrapText="1"/>
    </xf>
    <xf numFmtId="0" fontId="6" fillId="0" borderId="0" xfId="0" applyFont="1" applyAlignment="1">
      <alignment wrapText="1"/>
    </xf>
    <xf numFmtId="0" fontId="7" fillId="6" borderId="8" xfId="0" applyFont="1" applyFill="1" applyBorder="1" applyAlignment="1">
      <alignment horizontal="center" vertical="center" wrapText="1"/>
    </xf>
    <xf numFmtId="0" fontId="9" fillId="5" borderId="9" xfId="0" applyFont="1" applyFill="1" applyBorder="1" applyAlignment="1">
      <alignment horizontal="center" vertical="center"/>
    </xf>
    <xf numFmtId="0" fontId="9" fillId="7" borderId="9" xfId="0" applyFont="1" applyFill="1" applyBorder="1" applyAlignment="1">
      <alignment horizontal="center" vertical="center" wrapText="1"/>
    </xf>
    <xf numFmtId="0" fontId="9" fillId="7" borderId="9" xfId="0" applyFont="1" applyFill="1" applyBorder="1" applyAlignment="1">
      <alignment vertical="top" wrapText="1"/>
    </xf>
    <xf numFmtId="9" fontId="9" fillId="7" borderId="9" xfId="0" applyNumberFormat="1" applyFont="1" applyFill="1" applyBorder="1" applyAlignment="1">
      <alignment vertical="center" wrapText="1"/>
    </xf>
    <xf numFmtId="0" fontId="9" fillId="7" borderId="9" xfId="0" applyFont="1" applyFill="1" applyBorder="1" applyAlignment="1">
      <alignment horizontal="center" vertical="center"/>
    </xf>
    <xf numFmtId="0" fontId="9" fillId="7" borderId="9" xfId="0" applyFont="1" applyFill="1" applyBorder="1"/>
    <xf numFmtId="0" fontId="9" fillId="7" borderId="9" xfId="0" applyFont="1" applyFill="1" applyBorder="1" applyAlignment="1">
      <alignment vertical="center" wrapText="1"/>
    </xf>
    <xf numFmtId="0" fontId="9" fillId="8" borderId="9" xfId="0" applyFont="1" applyFill="1" applyBorder="1" applyAlignment="1">
      <alignment horizontal="center" vertical="center" wrapText="1"/>
    </xf>
    <xf numFmtId="0" fontId="9" fillId="8" borderId="9" xfId="0" applyFont="1" applyFill="1" applyBorder="1" applyAlignment="1">
      <alignment horizontal="center" vertical="center"/>
    </xf>
    <xf numFmtId="0" fontId="9" fillId="8" borderId="9" xfId="0" applyFont="1" applyFill="1" applyBorder="1" applyAlignment="1">
      <alignment vertical="top" wrapText="1"/>
    </xf>
    <xf numFmtId="0" fontId="9" fillId="9" borderId="9" xfId="0" applyFont="1" applyFill="1" applyBorder="1" applyAlignment="1">
      <alignment horizontal="center" vertical="center" wrapText="1"/>
    </xf>
    <xf numFmtId="0" fontId="9" fillId="9" borderId="9" xfId="0" applyFont="1" applyFill="1" applyBorder="1" applyAlignment="1">
      <alignment horizontal="center" vertical="center"/>
    </xf>
    <xf numFmtId="0" fontId="9" fillId="9" borderId="9" xfId="0" applyFont="1" applyFill="1" applyBorder="1" applyAlignment="1">
      <alignment vertical="top" wrapText="1"/>
    </xf>
    <xf numFmtId="0" fontId="9" fillId="9" borderId="9" xfId="0" applyFont="1" applyFill="1" applyBorder="1"/>
    <xf numFmtId="0" fontId="9" fillId="9" borderId="9" xfId="0" applyFont="1" applyFill="1" applyBorder="1" applyAlignment="1">
      <alignment horizontal="center" wrapText="1"/>
    </xf>
    <xf numFmtId="0" fontId="10" fillId="10" borderId="1" xfId="0" applyFont="1" applyFill="1" applyBorder="1" applyAlignment="1">
      <alignment vertical="top"/>
    </xf>
    <xf numFmtId="0" fontId="11" fillId="0" borderId="0" xfId="0" applyFont="1" applyAlignment="1">
      <alignment vertical="top" wrapText="1"/>
    </xf>
    <xf numFmtId="0" fontId="11" fillId="0" borderId="0" xfId="0" applyFont="1" applyAlignment="1">
      <alignment vertical="top"/>
    </xf>
    <xf numFmtId="0" fontId="12" fillId="10" borderId="1" xfId="0" applyFont="1" applyFill="1" applyBorder="1" applyAlignment="1">
      <alignment vertical="top" wrapText="1"/>
    </xf>
    <xf numFmtId="0" fontId="11" fillId="0" borderId="0" xfId="0" applyFont="1"/>
    <xf numFmtId="0" fontId="13" fillId="10" borderId="1" xfId="0" applyFont="1" applyFill="1" applyBorder="1" applyAlignment="1">
      <alignment vertical="top"/>
    </xf>
    <xf numFmtId="0" fontId="5" fillId="0" borderId="0" xfId="0" applyFont="1" applyAlignment="1">
      <alignment vertical="top"/>
    </xf>
    <xf numFmtId="0" fontId="14" fillId="11" borderId="1" xfId="0" applyFont="1" applyFill="1" applyBorder="1" applyAlignment="1">
      <alignment vertical="top" wrapText="1"/>
    </xf>
    <xf numFmtId="0" fontId="14" fillId="11" borderId="1" xfId="0" applyFont="1" applyFill="1" applyBorder="1" applyAlignment="1">
      <alignment vertical="top"/>
    </xf>
    <xf numFmtId="0" fontId="13" fillId="12" borderId="10" xfId="0" applyFont="1" applyFill="1" applyBorder="1" applyAlignment="1">
      <alignment vertical="top"/>
    </xf>
    <xf numFmtId="0" fontId="5" fillId="12" borderId="11" xfId="0" applyFont="1" applyFill="1" applyBorder="1" applyAlignment="1">
      <alignment vertical="top"/>
    </xf>
    <xf numFmtId="0" fontId="12" fillId="12" borderId="12" xfId="0" applyFont="1" applyFill="1" applyBorder="1" applyAlignment="1">
      <alignment vertical="top" wrapText="1"/>
    </xf>
    <xf numFmtId="0" fontId="11" fillId="12" borderId="12" xfId="0" applyFont="1" applyFill="1" applyBorder="1" applyAlignment="1">
      <alignment vertical="top"/>
    </xf>
    <xf numFmtId="0" fontId="12" fillId="12" borderId="13" xfId="0" applyFont="1" applyFill="1" applyBorder="1" applyAlignment="1">
      <alignment vertical="top"/>
    </xf>
    <xf numFmtId="0" fontId="12" fillId="12" borderId="12" xfId="0" applyFont="1" applyFill="1" applyBorder="1" applyAlignment="1">
      <alignment vertical="top"/>
    </xf>
    <xf numFmtId="0" fontId="12" fillId="12" borderId="14" xfId="0" applyFont="1" applyFill="1" applyBorder="1" applyAlignment="1">
      <alignment vertical="top"/>
    </xf>
    <xf numFmtId="0" fontId="10" fillId="10" borderId="1" xfId="0" applyFont="1" applyFill="1" applyBorder="1"/>
    <xf numFmtId="0" fontId="11" fillId="0" borderId="0" xfId="0" applyFont="1" applyAlignment="1">
      <alignment wrapText="1"/>
    </xf>
    <xf numFmtId="0" fontId="13" fillId="10" borderId="1" xfId="0" applyFont="1" applyFill="1" applyBorder="1"/>
    <xf numFmtId="0" fontId="12" fillId="10" borderId="1" xfId="0" applyFont="1" applyFill="1" applyBorder="1" applyAlignment="1">
      <alignment wrapText="1"/>
    </xf>
    <xf numFmtId="0" fontId="13" fillId="12" borderId="10" xfId="0" applyFont="1" applyFill="1" applyBorder="1"/>
    <xf numFmtId="0" fontId="5" fillId="12" borderId="11" xfId="0" applyFont="1" applyFill="1" applyBorder="1"/>
    <xf numFmtId="0" fontId="12" fillId="12" borderId="12" xfId="0" applyFont="1" applyFill="1" applyBorder="1" applyAlignment="1">
      <alignment wrapText="1"/>
    </xf>
    <xf numFmtId="0" fontId="11" fillId="12" borderId="12" xfId="0" applyFont="1" applyFill="1" applyBorder="1"/>
    <xf numFmtId="0" fontId="12" fillId="12" borderId="13" xfId="0" applyFont="1" applyFill="1" applyBorder="1"/>
    <xf numFmtId="0" fontId="12" fillId="12" borderId="12" xfId="0" applyFont="1" applyFill="1" applyBorder="1"/>
    <xf numFmtId="0" fontId="12" fillId="12" borderId="14" xfId="0" applyFont="1" applyFill="1" applyBorder="1"/>
    <xf numFmtId="0" fontId="11" fillId="10" borderId="1" xfId="0" applyFont="1" applyFill="1" applyBorder="1" applyAlignment="1">
      <alignment wrapText="1"/>
    </xf>
    <xf numFmtId="0" fontId="11" fillId="10" borderId="1" xfId="0" applyFont="1" applyFill="1" applyBorder="1"/>
    <xf numFmtId="0" fontId="13" fillId="13" borderId="10" xfId="0" applyFont="1" applyFill="1" applyBorder="1"/>
    <xf numFmtId="0" fontId="5" fillId="13" borderId="11" xfId="0" applyFont="1" applyFill="1" applyBorder="1"/>
    <xf numFmtId="0" fontId="12" fillId="13" borderId="12" xfId="0" applyFont="1" applyFill="1" applyBorder="1" applyAlignment="1">
      <alignment wrapText="1"/>
    </xf>
    <xf numFmtId="0" fontId="11" fillId="13" borderId="12" xfId="0" applyFont="1" applyFill="1" applyBorder="1"/>
    <xf numFmtId="0" fontId="12" fillId="13" borderId="12" xfId="0" applyFont="1" applyFill="1" applyBorder="1" applyAlignment="1">
      <alignment vertical="top" wrapText="1"/>
    </xf>
    <xf numFmtId="0" fontId="12" fillId="10" borderId="13" xfId="0" applyFont="1" applyFill="1" applyBorder="1"/>
    <xf numFmtId="0" fontId="12" fillId="10" borderId="12" xfId="0" applyFont="1" applyFill="1" applyBorder="1"/>
    <xf numFmtId="0" fontId="12" fillId="10" borderId="12" xfId="0" applyFont="1" applyFill="1" applyBorder="1" applyAlignment="1">
      <alignment wrapText="1"/>
    </xf>
    <xf numFmtId="0" fontId="11" fillId="0" borderId="12" xfId="0" applyFont="1" applyBorder="1"/>
    <xf numFmtId="0" fontId="12" fillId="10" borderId="12" xfId="0" applyFont="1" applyFill="1" applyBorder="1" applyAlignment="1">
      <alignment vertical="top" wrapText="1"/>
    </xf>
    <xf numFmtId="0" fontId="12" fillId="10" borderId="14" xfId="0" applyFont="1" applyFill="1" applyBorder="1"/>
    <xf numFmtId="0" fontId="13" fillId="14" borderId="10" xfId="0" applyFont="1" applyFill="1" applyBorder="1"/>
    <xf numFmtId="0" fontId="5" fillId="14" borderId="11" xfId="0" applyFont="1" applyFill="1" applyBorder="1"/>
    <xf numFmtId="0" fontId="12" fillId="14" borderId="12" xfId="0" applyFont="1" applyFill="1" applyBorder="1" applyAlignment="1">
      <alignment wrapText="1"/>
    </xf>
    <xf numFmtId="0" fontId="11" fillId="14" borderId="12" xfId="0" applyFont="1" applyFill="1" applyBorder="1"/>
    <xf numFmtId="0" fontId="12" fillId="14" borderId="12" xfId="0" applyFont="1" applyFill="1" applyBorder="1" applyAlignment="1">
      <alignment vertical="top" wrapText="1"/>
    </xf>
    <xf numFmtId="0" fontId="12" fillId="14" borderId="13" xfId="0" applyFont="1" applyFill="1" applyBorder="1"/>
    <xf numFmtId="0" fontId="12" fillId="14" borderId="12" xfId="0" applyFont="1" applyFill="1" applyBorder="1"/>
    <xf numFmtId="0" fontId="12" fillId="14" borderId="14" xfId="0" applyFont="1" applyFill="1" applyBorder="1"/>
    <xf numFmtId="0" fontId="12" fillId="13" borderId="13" xfId="0" applyFont="1" applyFill="1" applyBorder="1" applyAlignment="1">
      <alignment vertical="top"/>
    </xf>
    <xf numFmtId="0" fontId="12" fillId="13" borderId="12" xfId="0" applyFont="1" applyFill="1" applyBorder="1" applyAlignment="1">
      <alignment vertical="top"/>
    </xf>
    <xf numFmtId="0" fontId="12" fillId="13" borderId="13" xfId="0" applyFont="1" applyFill="1" applyBorder="1"/>
    <xf numFmtId="0" fontId="12" fillId="13" borderId="12" xfId="0" applyFont="1" applyFill="1" applyBorder="1"/>
    <xf numFmtId="0" fontId="12" fillId="13" borderId="14" xfId="0" applyFont="1" applyFill="1" applyBorder="1"/>
    <xf numFmtId="0" fontId="15" fillId="12" borderId="12" xfId="0" applyFont="1" applyFill="1" applyBorder="1" applyAlignment="1">
      <alignment vertical="top"/>
    </xf>
    <xf numFmtId="0" fontId="15" fillId="12" borderId="12" xfId="0" applyFont="1" applyFill="1" applyBorder="1" applyAlignment="1">
      <alignment vertical="top" wrapText="1"/>
    </xf>
    <xf numFmtId="0" fontId="16" fillId="15" borderId="12" xfId="0" applyFont="1" applyFill="1" applyBorder="1" applyAlignment="1">
      <alignment vertical="top"/>
    </xf>
    <xf numFmtId="0" fontId="16" fillId="15" borderId="12" xfId="0" applyFont="1" applyFill="1" applyBorder="1" applyAlignment="1">
      <alignment vertical="top" wrapText="1"/>
    </xf>
    <xf numFmtId="0" fontId="14" fillId="15" borderId="12" xfId="0" applyFont="1" applyFill="1" applyBorder="1" applyAlignment="1">
      <alignment vertical="top" wrapText="1"/>
    </xf>
    <xf numFmtId="0" fontId="15" fillId="13" borderId="12" xfId="0" applyFont="1" applyFill="1" applyBorder="1" applyAlignment="1">
      <alignment vertical="top"/>
    </xf>
    <xf numFmtId="0" fontId="15" fillId="13" borderId="12" xfId="0" applyFont="1" applyFill="1" applyBorder="1" applyAlignment="1">
      <alignment vertical="top" wrapText="1"/>
    </xf>
    <xf numFmtId="0" fontId="7" fillId="6" borderId="2" xfId="0" applyFont="1" applyFill="1" applyBorder="1" applyAlignment="1">
      <alignment horizontal="center" vertical="center" wrapText="1"/>
    </xf>
    <xf numFmtId="0" fontId="8" fillId="0" borderId="6" xfId="0" applyFont="1" applyBorder="1"/>
    <xf numFmtId="0" fontId="8" fillId="0" borderId="7" xfId="0" applyFont="1" applyBorder="1"/>
    <xf numFmtId="0" fontId="7" fillId="6" borderId="3" xfId="0" applyFont="1" applyFill="1" applyBorder="1" applyAlignment="1">
      <alignment horizontal="center" vertical="center" wrapText="1"/>
    </xf>
    <xf numFmtId="0" fontId="8" fillId="0" borderId="4" xfId="0" applyFont="1" applyBorder="1"/>
    <xf numFmtId="0" fontId="8" fillId="0" borderId="5" xfId="0" applyFont="1" applyBorder="1"/>
  </cellXfs>
  <cellStyles count="1">
    <cellStyle name="常规" xfId="0" builtinId="0"/>
  </cellStyles>
  <dxfs count="13">
    <dxf>
      <fill>
        <patternFill patternType="solid">
          <fgColor rgb="FFD9EAD3"/>
          <bgColor rgb="FFD9EAD3"/>
        </patternFill>
      </fill>
    </dxf>
    <dxf>
      <font>
        <b/>
      </font>
      <fill>
        <patternFill patternType="solid">
          <fgColor rgb="FFF4CCCC"/>
          <bgColor rgb="FFF4CCCC"/>
        </patternFill>
      </fill>
    </dxf>
    <dxf>
      <fill>
        <patternFill patternType="solid">
          <fgColor rgb="FFFCE5CD"/>
          <bgColor rgb="FFFCE5CD"/>
        </patternFill>
      </fill>
    </dxf>
    <dxf>
      <fill>
        <patternFill patternType="solid">
          <fgColor rgb="FFF4CCCC"/>
          <bgColor rgb="FFF4CCCC"/>
        </patternFill>
      </fill>
    </dxf>
    <dxf>
      <font>
        <color rgb="FF375623"/>
      </font>
      <fill>
        <patternFill patternType="solid">
          <fgColor rgb="FFE2F0D9"/>
          <bgColor rgb="FFE2F0D9"/>
        </patternFill>
      </fill>
    </dxf>
    <dxf>
      <font>
        <color rgb="FF7F6000"/>
      </font>
      <fill>
        <patternFill patternType="solid">
          <fgColor rgb="FFFFF2CC"/>
          <bgColor rgb="FFFFF2CC"/>
        </patternFill>
      </fill>
    </dxf>
    <dxf>
      <font>
        <b/>
        <color rgb="FFC00000"/>
      </font>
      <fill>
        <patternFill patternType="solid">
          <fgColor rgb="FFFCE4D6"/>
          <bgColor rgb="FFFCE4D6"/>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s>
  <tableStyles count="2">
    <tableStyle name="03_Product_Quality_Scope-style" pivot="0" count="3" xr9:uid="{00000000-0011-0000-FFFF-FFFF00000000}">
      <tableStyleElement type="headerRow" dxfId="12"/>
      <tableStyleElement type="firstRowStripe" dxfId="11"/>
      <tableStyleElement type="secondRowStripe" dxfId="10"/>
    </tableStyle>
    <tableStyle name="03_QG_Check_Matrix-style" pivot="0" count="3" xr9:uid="{00000000-0011-0000-FFFF-FFFF01000000}">
      <tableStyleElement type="headerRow" dxfId="9"/>
      <tableStyleElement type="firstRowStripe"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E21">
  <tableColumns count="5">
    <tableColumn id="1" xr3:uid="{00000000-0010-0000-0000-000001000000}" name="Quality Characteristic"/>
    <tableColumn id="2" xr3:uid="{00000000-0010-0000-0000-000002000000}" name="Sub-Characteristic"/>
    <tableColumn id="3" xr3:uid="{00000000-0010-0000-0000-000003000000}" name="Priority"/>
    <tableColumn id="4" xr3:uid="{00000000-0010-0000-0000-000004000000}" name="Current Phase Decision"/>
    <tableColumn id="5" xr3:uid="{00000000-0010-0000-0000-000005000000}" name="Rationale"/>
  </tableColumns>
  <tableStyleInfo name="03_Product_Quality_Scop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P103">
  <tableColumns count="16">
    <tableColumn id="1" xr3:uid="{00000000-0010-0000-0100-000001000000}" name="Quality Gate"/>
    <tableColumn id="2" xr3:uid="{00000000-0010-0000-0100-000002000000}" name="Gate Name"/>
    <tableColumn id="3" xr3:uid="{00000000-0010-0000-0100-000003000000}" name="Lifecycle Phase"/>
    <tableColumn id="4" xr3:uid="{00000000-0010-0000-0100-000004000000}" name="Expected Maturity"/>
    <tableColumn id="5" xr3:uid="{00000000-0010-0000-0100-000005000000}" name="Quality Characteristic"/>
    <tableColumn id="6" xr3:uid="{00000000-0010-0000-0100-000006000000}" name="Quality Sub-characteristic"/>
    <tableColumn id="7" xr3:uid="{00000000-0010-0000-0100-000007000000}" name="Priority"/>
    <tableColumn id="8" xr3:uid="{00000000-0010-0000-0100-000008000000}" name="What to Check"/>
    <tableColumn id="9" xr3:uid="{00000000-0010-0000-0100-000009000000}" name="Pass Criteria"/>
    <tableColumn id="10" xr3:uid="{00000000-0010-0000-0100-00000A000000}" name="Required Evidence"/>
    <tableColumn id="11" xr3:uid="{00000000-0010-0000-0100-00000B000000}" name="Review Method"/>
    <tableColumn id="12" xr3:uid="{00000000-0010-0000-0100-00000C000000}" name="Blocking Level"/>
    <tableColumn id="13" xr3:uid="{00000000-0010-0000-0100-00000D000000}" name="Responsible Role"/>
    <tableColumn id="14" xr3:uid="{00000000-0010-0000-0100-00000E000000}" name="Review Status"/>
    <tableColumn id="15" xr3:uid="{00000000-0010-0000-0100-00000F000000}" name="Review Result"/>
    <tableColumn id="16" xr3:uid="{00000000-0010-0000-0100-000010000000}" name="Findings / Closure Action"/>
  </tableColumns>
  <tableStyleInfo name="03_QG_Check_Matrix-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heetViews>
  <sheetFormatPr defaultColWidth="12.6640625" defaultRowHeight="15" customHeight="1"/>
  <cols>
    <col min="1" max="1" width="18" customWidth="1"/>
    <col min="2" max="2" width="37.75" customWidth="1"/>
    <col min="3" max="26" width="8.6640625" customWidth="1"/>
  </cols>
  <sheetData>
    <row r="1" spans="1:2" ht="21" customHeight="1">
      <c r="A1" s="1" t="s">
        <v>0</v>
      </c>
      <c r="B1" s="1" t="s">
        <v>1</v>
      </c>
    </row>
    <row r="2" spans="1:2" ht="13.5" customHeight="1">
      <c r="A2" s="2" t="s">
        <v>2</v>
      </c>
      <c r="B2" s="2" t="s">
        <v>3</v>
      </c>
    </row>
    <row r="3" spans="1:2" ht="13.5" customHeight="1">
      <c r="A3" s="2" t="s">
        <v>4</v>
      </c>
      <c r="B3" s="2" t="s">
        <v>5</v>
      </c>
    </row>
    <row r="4" spans="1:2" ht="13.5" customHeight="1">
      <c r="A4" s="2" t="s">
        <v>6</v>
      </c>
      <c r="B4" s="2" t="s">
        <v>7</v>
      </c>
    </row>
    <row r="5" spans="1:2" ht="13.5" customHeight="1">
      <c r="A5" s="2" t="s">
        <v>8</v>
      </c>
      <c r="B5" s="2" t="s">
        <v>9</v>
      </c>
    </row>
    <row r="6" spans="1:2" ht="13.5" customHeight="1">
      <c r="A6" s="2" t="s">
        <v>10</v>
      </c>
      <c r="B6" s="2" t="s">
        <v>11</v>
      </c>
    </row>
    <row r="7" spans="1:2" ht="13.5" customHeight="1">
      <c r="A7" s="2" t="s">
        <v>12</v>
      </c>
      <c r="B7" s="2" t="s">
        <v>13</v>
      </c>
    </row>
    <row r="8" spans="1:2" ht="13.5" customHeight="1">
      <c r="A8" s="2" t="s">
        <v>14</v>
      </c>
      <c r="B8" s="2" t="s">
        <v>15</v>
      </c>
    </row>
    <row r="9" spans="1:2" ht="13.5" customHeight="1">
      <c r="A9" s="2" t="s">
        <v>16</v>
      </c>
      <c r="B9" s="2" t="s">
        <v>17</v>
      </c>
    </row>
    <row r="10" spans="1:2" ht="13.5" customHeight="1"/>
    <row r="11" spans="1:2" ht="13.5" customHeight="1"/>
    <row r="12" spans="1:2" ht="13.5" customHeight="1"/>
    <row r="13" spans="1:2" ht="13.5" customHeight="1"/>
    <row r="14" spans="1:2" ht="13.5" customHeight="1"/>
    <row r="15" spans="1:2" ht="13.5" customHeight="1"/>
    <row r="16" spans="1:2"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H1000"/>
  <sheetViews>
    <sheetView topLeftCell="A45" workbookViewId="0"/>
  </sheetViews>
  <sheetFormatPr defaultColWidth="12.6640625" defaultRowHeight="15" customHeight="1"/>
  <cols>
    <col min="1" max="1" width="12" customWidth="1"/>
    <col min="2" max="3" width="18" customWidth="1"/>
    <col min="4" max="5" width="24" customWidth="1"/>
    <col min="6" max="6" width="12" customWidth="1"/>
    <col min="7" max="8" width="22" customWidth="1"/>
    <col min="9" max="10" width="36" customWidth="1"/>
    <col min="11" max="11" width="18" customWidth="1"/>
    <col min="12" max="12" width="40.9140625" customWidth="1"/>
    <col min="13" max="15" width="18" customWidth="1"/>
    <col min="16" max="34" width="36" customWidth="1"/>
  </cols>
  <sheetData>
    <row r="1" spans="1:34" ht="13.5" customHeight="1">
      <c r="A1" s="3" t="s">
        <v>18</v>
      </c>
      <c r="B1" s="3" t="s">
        <v>19</v>
      </c>
      <c r="C1" s="3" t="s">
        <v>20</v>
      </c>
      <c r="D1" s="3" t="s">
        <v>21</v>
      </c>
      <c r="E1" s="3" t="s">
        <v>22</v>
      </c>
      <c r="F1" s="3" t="s">
        <v>23</v>
      </c>
      <c r="G1" s="3" t="s">
        <v>24</v>
      </c>
      <c r="H1" s="3" t="s">
        <v>25</v>
      </c>
      <c r="I1" s="3" t="s">
        <v>26</v>
      </c>
      <c r="J1" s="3" t="s">
        <v>27</v>
      </c>
      <c r="K1" s="3" t="s">
        <v>28</v>
      </c>
      <c r="L1" s="3" t="s">
        <v>29</v>
      </c>
      <c r="M1" s="3" t="s">
        <v>30</v>
      </c>
      <c r="N1" s="3" t="s">
        <v>31</v>
      </c>
      <c r="O1" s="3" t="s">
        <v>32</v>
      </c>
      <c r="P1" s="3" t="s">
        <v>33</v>
      </c>
      <c r="Q1" s="3" t="s">
        <v>34</v>
      </c>
      <c r="R1" s="3" t="s">
        <v>35</v>
      </c>
      <c r="S1" s="3" t="s">
        <v>36</v>
      </c>
      <c r="T1" s="3" t="s">
        <v>37</v>
      </c>
      <c r="U1" s="3" t="s">
        <v>38</v>
      </c>
      <c r="V1" s="3" t="s">
        <v>39</v>
      </c>
      <c r="W1" s="3" t="s">
        <v>40</v>
      </c>
      <c r="X1" s="3" t="s">
        <v>41</v>
      </c>
      <c r="Y1" s="3" t="s">
        <v>42</v>
      </c>
      <c r="Z1" s="3" t="s">
        <v>43</v>
      </c>
      <c r="AA1" s="3" t="s">
        <v>44</v>
      </c>
      <c r="AB1" s="3" t="s">
        <v>45</v>
      </c>
      <c r="AC1" s="3" t="s">
        <v>46</v>
      </c>
      <c r="AD1" s="3" t="s">
        <v>47</v>
      </c>
      <c r="AE1" s="3" t="s">
        <v>48</v>
      </c>
      <c r="AF1" s="3" t="s">
        <v>49</v>
      </c>
      <c r="AG1" s="3" t="s">
        <v>50</v>
      </c>
      <c r="AH1" s="3" t="s">
        <v>51</v>
      </c>
    </row>
    <row r="2" spans="1:34" ht="13.5" customHeight="1">
      <c r="A2" s="4" t="s">
        <v>52</v>
      </c>
      <c r="B2" s="4" t="s">
        <v>53</v>
      </c>
      <c r="C2" s="4" t="s">
        <v>54</v>
      </c>
      <c r="D2" s="4" t="s">
        <v>55</v>
      </c>
      <c r="E2" s="4" t="s">
        <v>56</v>
      </c>
      <c r="F2" s="4" t="s">
        <v>57</v>
      </c>
      <c r="G2" s="4" t="s">
        <v>58</v>
      </c>
      <c r="H2" s="4" t="s">
        <v>59</v>
      </c>
      <c r="I2" s="4" t="s">
        <v>60</v>
      </c>
      <c r="J2" s="4" t="s">
        <v>61</v>
      </c>
      <c r="K2" s="4" t="s">
        <v>62</v>
      </c>
      <c r="L2" s="4" t="s">
        <v>63</v>
      </c>
      <c r="M2" s="4" t="s">
        <v>64</v>
      </c>
      <c r="N2" s="4" t="s">
        <v>65</v>
      </c>
      <c r="O2" s="4" t="s">
        <v>66</v>
      </c>
      <c r="P2" s="4" t="s">
        <v>67</v>
      </c>
      <c r="Q2" s="4" t="s">
        <v>68</v>
      </c>
      <c r="R2" s="4" t="s">
        <v>69</v>
      </c>
      <c r="S2" s="4" t="s">
        <v>70</v>
      </c>
      <c r="T2" s="4" t="s">
        <v>71</v>
      </c>
      <c r="U2" s="4" t="s">
        <v>72</v>
      </c>
      <c r="V2" s="4" t="s">
        <v>73</v>
      </c>
      <c r="W2" s="4" t="s">
        <v>74</v>
      </c>
      <c r="X2" s="4" t="s">
        <v>75</v>
      </c>
      <c r="Y2" s="4" t="s">
        <v>76</v>
      </c>
      <c r="Z2" s="4" t="s">
        <v>77</v>
      </c>
      <c r="AA2" s="4" t="s">
        <v>78</v>
      </c>
      <c r="AB2" s="4" t="s">
        <v>79</v>
      </c>
      <c r="AC2" s="4" t="s">
        <v>80</v>
      </c>
      <c r="AD2" s="4" t="s">
        <v>81</v>
      </c>
      <c r="AE2" s="4" t="s">
        <v>82</v>
      </c>
      <c r="AF2" s="4" t="s">
        <v>83</v>
      </c>
      <c r="AG2" s="4" t="s">
        <v>84</v>
      </c>
      <c r="AH2" s="4" t="s">
        <v>85</v>
      </c>
    </row>
    <row r="3" spans="1:34" ht="13.5" hidden="1" customHeight="1">
      <c r="A3" s="5" t="s">
        <v>86</v>
      </c>
      <c r="B3" s="5" t="s">
        <v>87</v>
      </c>
      <c r="C3" s="5" t="s">
        <v>54</v>
      </c>
      <c r="D3" s="5" t="s">
        <v>55</v>
      </c>
      <c r="E3" s="5" t="s">
        <v>56</v>
      </c>
      <c r="F3" s="5" t="s">
        <v>57</v>
      </c>
      <c r="G3" s="5" t="s">
        <v>88</v>
      </c>
      <c r="H3" s="5" t="s">
        <v>89</v>
      </c>
      <c r="I3" s="5" t="s">
        <v>90</v>
      </c>
      <c r="J3" s="5" t="s">
        <v>91</v>
      </c>
      <c r="K3" s="5" t="s">
        <v>92</v>
      </c>
      <c r="L3" s="5" t="s">
        <v>93</v>
      </c>
      <c r="M3" s="5" t="s">
        <v>94</v>
      </c>
      <c r="N3" s="5"/>
      <c r="O3" s="5"/>
      <c r="P3" s="5" t="s">
        <v>67</v>
      </c>
      <c r="Q3" s="5" t="s">
        <v>68</v>
      </c>
      <c r="R3" s="5" t="s">
        <v>95</v>
      </c>
      <c r="S3" s="5" t="s">
        <v>70</v>
      </c>
      <c r="T3" s="5" t="s">
        <v>71</v>
      </c>
      <c r="U3" s="5" t="s">
        <v>96</v>
      </c>
      <c r="V3" s="5" t="s">
        <v>73</v>
      </c>
      <c r="W3" s="5" t="s">
        <v>74</v>
      </c>
      <c r="X3" s="5" t="s">
        <v>97</v>
      </c>
      <c r="Y3" s="5" t="s">
        <v>76</v>
      </c>
      <c r="Z3" s="5" t="s">
        <v>77</v>
      </c>
      <c r="AA3" s="5" t="s">
        <v>98</v>
      </c>
      <c r="AB3" s="5" t="s">
        <v>79</v>
      </c>
      <c r="AC3" s="5" t="s">
        <v>80</v>
      </c>
      <c r="AD3" s="5" t="s">
        <v>99</v>
      </c>
      <c r="AE3" s="5" t="s">
        <v>82</v>
      </c>
      <c r="AF3" s="5" t="s">
        <v>83</v>
      </c>
      <c r="AG3" s="5" t="s">
        <v>100</v>
      </c>
      <c r="AH3" s="5" t="s">
        <v>101</v>
      </c>
    </row>
    <row r="4" spans="1:34" ht="13.5" customHeight="1">
      <c r="A4" s="4" t="s">
        <v>102</v>
      </c>
      <c r="B4" s="4" t="s">
        <v>53</v>
      </c>
      <c r="C4" s="4" t="s">
        <v>54</v>
      </c>
      <c r="D4" s="4" t="s">
        <v>55</v>
      </c>
      <c r="E4" s="4" t="s">
        <v>56</v>
      </c>
      <c r="F4" s="4" t="s">
        <v>57</v>
      </c>
      <c r="G4" s="4" t="s">
        <v>103</v>
      </c>
      <c r="H4" s="4" t="s">
        <v>104</v>
      </c>
      <c r="I4" s="4" t="s">
        <v>105</v>
      </c>
      <c r="J4" s="4" t="s">
        <v>106</v>
      </c>
      <c r="K4" s="4" t="s">
        <v>107</v>
      </c>
      <c r="L4" s="4" t="s">
        <v>63</v>
      </c>
      <c r="M4" s="4" t="s">
        <v>64</v>
      </c>
      <c r="N4" s="4" t="s">
        <v>65</v>
      </c>
      <c r="O4" s="4" t="s">
        <v>66</v>
      </c>
      <c r="P4" s="4" t="s">
        <v>67</v>
      </c>
      <c r="Q4" s="4" t="s">
        <v>68</v>
      </c>
      <c r="R4" s="4" t="s">
        <v>69</v>
      </c>
      <c r="S4" s="4" t="s">
        <v>70</v>
      </c>
      <c r="T4" s="4" t="s">
        <v>71</v>
      </c>
      <c r="U4" s="4" t="s">
        <v>72</v>
      </c>
      <c r="V4" s="4" t="s">
        <v>73</v>
      </c>
      <c r="W4" s="4" t="s">
        <v>74</v>
      </c>
      <c r="X4" s="4" t="s">
        <v>75</v>
      </c>
      <c r="Y4" s="4" t="s">
        <v>76</v>
      </c>
      <c r="Z4" s="4" t="s">
        <v>77</v>
      </c>
      <c r="AA4" s="4" t="s">
        <v>78</v>
      </c>
      <c r="AB4" s="4" t="s">
        <v>79</v>
      </c>
      <c r="AC4" s="4" t="s">
        <v>80</v>
      </c>
      <c r="AD4" s="4" t="s">
        <v>81</v>
      </c>
      <c r="AE4" s="4" t="s">
        <v>82</v>
      </c>
      <c r="AF4" s="4" t="s">
        <v>83</v>
      </c>
      <c r="AG4" s="4" t="s">
        <v>84</v>
      </c>
      <c r="AH4" s="4" t="s">
        <v>85</v>
      </c>
    </row>
    <row r="5" spans="1:34" ht="13.5" customHeight="1">
      <c r="A5" s="5" t="s">
        <v>108</v>
      </c>
      <c r="B5" s="5" t="s">
        <v>53</v>
      </c>
      <c r="C5" s="5" t="s">
        <v>54</v>
      </c>
      <c r="D5" s="5" t="s">
        <v>55</v>
      </c>
      <c r="E5" s="5" t="s">
        <v>109</v>
      </c>
      <c r="F5" s="5" t="s">
        <v>57</v>
      </c>
      <c r="G5" s="5" t="s">
        <v>110</v>
      </c>
      <c r="H5" s="5" t="s">
        <v>111</v>
      </c>
      <c r="I5" s="5" t="s">
        <v>112</v>
      </c>
      <c r="J5" s="5" t="s">
        <v>113</v>
      </c>
      <c r="K5" s="5" t="s">
        <v>114</v>
      </c>
      <c r="L5" s="5" t="s">
        <v>115</v>
      </c>
      <c r="M5" s="5" t="s">
        <v>64</v>
      </c>
      <c r="N5" s="5" t="s">
        <v>116</v>
      </c>
      <c r="O5" s="5" t="s">
        <v>117</v>
      </c>
      <c r="P5" s="5" t="s">
        <v>118</v>
      </c>
      <c r="Q5" s="5" t="s">
        <v>68</v>
      </c>
      <c r="R5" s="5" t="s">
        <v>119</v>
      </c>
      <c r="S5" s="5" t="s">
        <v>120</v>
      </c>
      <c r="T5" s="5" t="s">
        <v>71</v>
      </c>
      <c r="U5" s="5" t="s">
        <v>121</v>
      </c>
      <c r="V5" s="5" t="s">
        <v>122</v>
      </c>
      <c r="W5" s="5" t="s">
        <v>74</v>
      </c>
      <c r="X5" s="5" t="s">
        <v>123</v>
      </c>
      <c r="Y5" s="5" t="s">
        <v>124</v>
      </c>
      <c r="Z5" s="5" t="s">
        <v>77</v>
      </c>
      <c r="AA5" s="5" t="s">
        <v>125</v>
      </c>
      <c r="AB5" s="5" t="s">
        <v>126</v>
      </c>
      <c r="AC5" s="5" t="s">
        <v>80</v>
      </c>
      <c r="AD5" s="5" t="s">
        <v>127</v>
      </c>
      <c r="AE5" s="5" t="s">
        <v>128</v>
      </c>
      <c r="AF5" s="5" t="s">
        <v>83</v>
      </c>
      <c r="AG5" s="5" t="s">
        <v>129</v>
      </c>
      <c r="AH5" s="5" t="s">
        <v>85</v>
      </c>
    </row>
    <row r="6" spans="1:34" ht="13.5" hidden="1" customHeight="1">
      <c r="A6" s="4" t="s">
        <v>130</v>
      </c>
      <c r="B6" s="4" t="s">
        <v>87</v>
      </c>
      <c r="C6" s="4" t="s">
        <v>54</v>
      </c>
      <c r="D6" s="4" t="s">
        <v>55</v>
      </c>
      <c r="E6" s="4" t="s">
        <v>109</v>
      </c>
      <c r="F6" s="4" t="s">
        <v>57</v>
      </c>
      <c r="G6" s="4" t="s">
        <v>131</v>
      </c>
      <c r="H6" s="4" t="s">
        <v>132</v>
      </c>
      <c r="I6" s="4" t="s">
        <v>133</v>
      </c>
      <c r="J6" s="4" t="s">
        <v>134</v>
      </c>
      <c r="K6" s="4" t="s">
        <v>135</v>
      </c>
      <c r="L6" s="4" t="s">
        <v>136</v>
      </c>
      <c r="M6" s="4" t="s">
        <v>64</v>
      </c>
      <c r="N6" s="4"/>
      <c r="O6" s="4"/>
      <c r="P6" s="4" t="s">
        <v>118</v>
      </c>
      <c r="Q6" s="4" t="s">
        <v>68</v>
      </c>
      <c r="R6" s="4" t="s">
        <v>137</v>
      </c>
      <c r="S6" s="4" t="s">
        <v>120</v>
      </c>
      <c r="T6" s="4" t="s">
        <v>71</v>
      </c>
      <c r="U6" s="4" t="s">
        <v>138</v>
      </c>
      <c r="V6" s="4" t="s">
        <v>122</v>
      </c>
      <c r="W6" s="4" t="s">
        <v>74</v>
      </c>
      <c r="X6" s="4" t="s">
        <v>139</v>
      </c>
      <c r="Y6" s="4" t="s">
        <v>124</v>
      </c>
      <c r="Z6" s="4" t="s">
        <v>77</v>
      </c>
      <c r="AA6" s="4" t="s">
        <v>140</v>
      </c>
      <c r="AB6" s="4" t="s">
        <v>126</v>
      </c>
      <c r="AC6" s="4" t="s">
        <v>80</v>
      </c>
      <c r="AD6" s="4" t="s">
        <v>141</v>
      </c>
      <c r="AE6" s="4" t="s">
        <v>128</v>
      </c>
      <c r="AF6" s="4" t="s">
        <v>83</v>
      </c>
      <c r="AG6" s="4" t="s">
        <v>142</v>
      </c>
      <c r="AH6" s="4" t="s">
        <v>101</v>
      </c>
    </row>
    <row r="7" spans="1:34" ht="13.5" hidden="1" customHeight="1">
      <c r="A7" s="5" t="s">
        <v>143</v>
      </c>
      <c r="B7" s="5" t="s">
        <v>87</v>
      </c>
      <c r="C7" s="5" t="s">
        <v>54</v>
      </c>
      <c r="D7" s="5" t="s">
        <v>55</v>
      </c>
      <c r="E7" s="5" t="s">
        <v>109</v>
      </c>
      <c r="F7" s="5" t="s">
        <v>57</v>
      </c>
      <c r="G7" s="5" t="s">
        <v>144</v>
      </c>
      <c r="H7" s="5" t="s">
        <v>145</v>
      </c>
      <c r="I7" s="5" t="s">
        <v>146</v>
      </c>
      <c r="J7" s="5" t="s">
        <v>147</v>
      </c>
      <c r="K7" s="5" t="s">
        <v>148</v>
      </c>
      <c r="L7" s="5" t="s">
        <v>149</v>
      </c>
      <c r="M7" s="5" t="s">
        <v>94</v>
      </c>
      <c r="N7" s="5"/>
      <c r="O7" s="5"/>
      <c r="P7" s="5" t="s">
        <v>118</v>
      </c>
      <c r="Q7" s="5" t="s">
        <v>68</v>
      </c>
      <c r="R7" s="5" t="s">
        <v>137</v>
      </c>
      <c r="S7" s="5" t="s">
        <v>120</v>
      </c>
      <c r="T7" s="5" t="s">
        <v>71</v>
      </c>
      <c r="U7" s="5" t="s">
        <v>138</v>
      </c>
      <c r="V7" s="5" t="s">
        <v>122</v>
      </c>
      <c r="W7" s="5" t="s">
        <v>74</v>
      </c>
      <c r="X7" s="5" t="s">
        <v>139</v>
      </c>
      <c r="Y7" s="5" t="s">
        <v>124</v>
      </c>
      <c r="Z7" s="5" t="s">
        <v>77</v>
      </c>
      <c r="AA7" s="5" t="s">
        <v>140</v>
      </c>
      <c r="AB7" s="5" t="s">
        <v>126</v>
      </c>
      <c r="AC7" s="5" t="s">
        <v>80</v>
      </c>
      <c r="AD7" s="5" t="s">
        <v>141</v>
      </c>
      <c r="AE7" s="5" t="s">
        <v>128</v>
      </c>
      <c r="AF7" s="5" t="s">
        <v>83</v>
      </c>
      <c r="AG7" s="5" t="s">
        <v>142</v>
      </c>
      <c r="AH7" s="5" t="s">
        <v>101</v>
      </c>
    </row>
    <row r="8" spans="1:34" ht="13.5" customHeight="1">
      <c r="A8" s="4" t="s">
        <v>150</v>
      </c>
      <c r="B8" s="4" t="s">
        <v>53</v>
      </c>
      <c r="C8" s="4" t="s">
        <v>54</v>
      </c>
      <c r="D8" s="4" t="s">
        <v>55</v>
      </c>
      <c r="E8" s="4" t="s">
        <v>109</v>
      </c>
      <c r="F8" s="4" t="s">
        <v>57</v>
      </c>
      <c r="G8" s="4" t="s">
        <v>151</v>
      </c>
      <c r="H8" s="4" t="s">
        <v>152</v>
      </c>
      <c r="I8" s="4" t="s">
        <v>112</v>
      </c>
      <c r="J8" s="4" t="s">
        <v>113</v>
      </c>
      <c r="K8" s="4" t="s">
        <v>153</v>
      </c>
      <c r="L8" s="4" t="s">
        <v>115</v>
      </c>
      <c r="M8" s="4" t="s">
        <v>64</v>
      </c>
      <c r="N8" s="4" t="s">
        <v>116</v>
      </c>
      <c r="O8" s="4" t="s">
        <v>117</v>
      </c>
      <c r="P8" s="4" t="s">
        <v>118</v>
      </c>
      <c r="Q8" s="4" t="s">
        <v>68</v>
      </c>
      <c r="R8" s="4" t="s">
        <v>119</v>
      </c>
      <c r="S8" s="4" t="s">
        <v>120</v>
      </c>
      <c r="T8" s="4" t="s">
        <v>71</v>
      </c>
      <c r="U8" s="4" t="s">
        <v>121</v>
      </c>
      <c r="V8" s="4" t="s">
        <v>122</v>
      </c>
      <c r="W8" s="4" t="s">
        <v>74</v>
      </c>
      <c r="X8" s="4" t="s">
        <v>123</v>
      </c>
      <c r="Y8" s="4" t="s">
        <v>124</v>
      </c>
      <c r="Z8" s="4" t="s">
        <v>77</v>
      </c>
      <c r="AA8" s="4" t="s">
        <v>125</v>
      </c>
      <c r="AB8" s="4" t="s">
        <v>126</v>
      </c>
      <c r="AC8" s="4" t="s">
        <v>80</v>
      </c>
      <c r="AD8" s="4" t="s">
        <v>127</v>
      </c>
      <c r="AE8" s="4" t="s">
        <v>128</v>
      </c>
      <c r="AF8" s="4" t="s">
        <v>83</v>
      </c>
      <c r="AG8" s="4" t="s">
        <v>129</v>
      </c>
      <c r="AH8" s="4" t="s">
        <v>85</v>
      </c>
    </row>
    <row r="9" spans="1:34" ht="13.5" customHeight="1">
      <c r="A9" s="5" t="s">
        <v>154</v>
      </c>
      <c r="B9" s="5" t="s">
        <v>53</v>
      </c>
      <c r="C9" s="5" t="s">
        <v>54</v>
      </c>
      <c r="D9" s="5" t="s">
        <v>55</v>
      </c>
      <c r="E9" s="5" t="s">
        <v>109</v>
      </c>
      <c r="F9" s="5" t="s">
        <v>57</v>
      </c>
      <c r="G9" s="5" t="s">
        <v>155</v>
      </c>
      <c r="H9" s="5" t="s">
        <v>156</v>
      </c>
      <c r="I9" s="5" t="s">
        <v>112</v>
      </c>
      <c r="J9" s="5" t="s">
        <v>113</v>
      </c>
      <c r="K9" s="5" t="s">
        <v>157</v>
      </c>
      <c r="L9" s="5" t="s">
        <v>115</v>
      </c>
      <c r="M9" s="5" t="s">
        <v>64</v>
      </c>
      <c r="N9" s="5" t="s">
        <v>116</v>
      </c>
      <c r="O9" s="5" t="s">
        <v>117</v>
      </c>
      <c r="P9" s="5" t="s">
        <v>118</v>
      </c>
      <c r="Q9" s="5" t="s">
        <v>68</v>
      </c>
      <c r="R9" s="5" t="s">
        <v>119</v>
      </c>
      <c r="S9" s="5" t="s">
        <v>120</v>
      </c>
      <c r="T9" s="5" t="s">
        <v>71</v>
      </c>
      <c r="U9" s="5" t="s">
        <v>121</v>
      </c>
      <c r="V9" s="5" t="s">
        <v>122</v>
      </c>
      <c r="W9" s="5" t="s">
        <v>74</v>
      </c>
      <c r="X9" s="5" t="s">
        <v>123</v>
      </c>
      <c r="Y9" s="5" t="s">
        <v>124</v>
      </c>
      <c r="Z9" s="5" t="s">
        <v>77</v>
      </c>
      <c r="AA9" s="5" t="s">
        <v>125</v>
      </c>
      <c r="AB9" s="5" t="s">
        <v>126</v>
      </c>
      <c r="AC9" s="5" t="s">
        <v>80</v>
      </c>
      <c r="AD9" s="5" t="s">
        <v>127</v>
      </c>
      <c r="AE9" s="5" t="s">
        <v>128</v>
      </c>
      <c r="AF9" s="5" t="s">
        <v>83</v>
      </c>
      <c r="AG9" s="5" t="s">
        <v>129</v>
      </c>
      <c r="AH9" s="5" t="s">
        <v>85</v>
      </c>
    </row>
    <row r="10" spans="1:34" ht="13.5" customHeight="1">
      <c r="A10" s="4" t="s">
        <v>158</v>
      </c>
      <c r="B10" s="4" t="s">
        <v>53</v>
      </c>
      <c r="C10" s="4" t="s">
        <v>54</v>
      </c>
      <c r="D10" s="4" t="s">
        <v>55</v>
      </c>
      <c r="E10" s="4" t="s">
        <v>159</v>
      </c>
      <c r="F10" s="4" t="s">
        <v>57</v>
      </c>
      <c r="G10" s="4" t="s">
        <v>160</v>
      </c>
      <c r="H10" s="4" t="s">
        <v>161</v>
      </c>
      <c r="I10" s="4" t="s">
        <v>162</v>
      </c>
      <c r="J10" s="4" t="s">
        <v>163</v>
      </c>
      <c r="K10" s="4" t="s">
        <v>164</v>
      </c>
      <c r="L10" s="4" t="s">
        <v>165</v>
      </c>
      <c r="M10" s="4" t="s">
        <v>64</v>
      </c>
      <c r="N10" s="4" t="s">
        <v>116</v>
      </c>
      <c r="O10" s="4" t="s">
        <v>166</v>
      </c>
      <c r="P10" s="4" t="s">
        <v>167</v>
      </c>
      <c r="Q10" s="4" t="s">
        <v>68</v>
      </c>
      <c r="R10" s="4" t="s">
        <v>168</v>
      </c>
      <c r="S10" s="4" t="s">
        <v>169</v>
      </c>
      <c r="T10" s="4" t="s">
        <v>170</v>
      </c>
      <c r="U10" s="4" t="s">
        <v>171</v>
      </c>
      <c r="V10" s="4" t="s">
        <v>172</v>
      </c>
      <c r="W10" s="4" t="s">
        <v>74</v>
      </c>
      <c r="X10" s="4" t="s">
        <v>173</v>
      </c>
      <c r="Y10" s="4" t="s">
        <v>174</v>
      </c>
      <c r="Z10" s="4" t="s">
        <v>77</v>
      </c>
      <c r="AA10" s="4" t="s">
        <v>175</v>
      </c>
      <c r="AB10" s="4" t="s">
        <v>176</v>
      </c>
      <c r="AC10" s="4" t="s">
        <v>177</v>
      </c>
      <c r="AD10" s="4" t="s">
        <v>178</v>
      </c>
      <c r="AE10" s="4" t="s">
        <v>179</v>
      </c>
      <c r="AF10" s="4" t="s">
        <v>83</v>
      </c>
      <c r="AG10" s="4" t="s">
        <v>180</v>
      </c>
      <c r="AH10" s="4" t="s">
        <v>85</v>
      </c>
    </row>
    <row r="11" spans="1:34" ht="13.5" customHeight="1">
      <c r="A11" s="5" t="s">
        <v>181</v>
      </c>
      <c r="B11" s="5" t="s">
        <v>53</v>
      </c>
      <c r="C11" s="5" t="s">
        <v>54</v>
      </c>
      <c r="D11" s="5" t="s">
        <v>182</v>
      </c>
      <c r="E11" s="5" t="s">
        <v>183</v>
      </c>
      <c r="F11" s="5" t="s">
        <v>57</v>
      </c>
      <c r="G11" s="5" t="s">
        <v>184</v>
      </c>
      <c r="H11" s="5" t="s">
        <v>185</v>
      </c>
      <c r="I11" s="5" t="s">
        <v>186</v>
      </c>
      <c r="J11" s="5" t="s">
        <v>187</v>
      </c>
      <c r="K11" s="5" t="s">
        <v>188</v>
      </c>
      <c r="L11" s="5" t="s">
        <v>189</v>
      </c>
      <c r="M11" s="5" t="s">
        <v>64</v>
      </c>
      <c r="N11" s="5" t="s">
        <v>116</v>
      </c>
      <c r="O11" s="5" t="s">
        <v>190</v>
      </c>
      <c r="P11" s="5" t="s">
        <v>191</v>
      </c>
      <c r="Q11" s="5" t="s">
        <v>68</v>
      </c>
      <c r="R11" s="5" t="s">
        <v>192</v>
      </c>
      <c r="S11" s="5" t="s">
        <v>193</v>
      </c>
      <c r="T11" s="5" t="s">
        <v>71</v>
      </c>
      <c r="U11" s="5" t="s">
        <v>194</v>
      </c>
      <c r="V11" s="5" t="s">
        <v>195</v>
      </c>
      <c r="W11" s="5" t="s">
        <v>74</v>
      </c>
      <c r="X11" s="5" t="s">
        <v>196</v>
      </c>
      <c r="Y11" s="5" t="s">
        <v>197</v>
      </c>
      <c r="Z11" s="5" t="s">
        <v>198</v>
      </c>
      <c r="AA11" s="5" t="s">
        <v>199</v>
      </c>
      <c r="AB11" s="5" t="s">
        <v>200</v>
      </c>
      <c r="AC11" s="5" t="s">
        <v>80</v>
      </c>
      <c r="AD11" s="5" t="s">
        <v>201</v>
      </c>
      <c r="AE11" s="5" t="s">
        <v>202</v>
      </c>
      <c r="AF11" s="5" t="s">
        <v>83</v>
      </c>
      <c r="AG11" s="5" t="s">
        <v>203</v>
      </c>
      <c r="AH11" s="5" t="s">
        <v>204</v>
      </c>
    </row>
    <row r="12" spans="1:34" ht="13.5" hidden="1" customHeight="1">
      <c r="A12" s="4" t="s">
        <v>205</v>
      </c>
      <c r="B12" s="4" t="s">
        <v>87</v>
      </c>
      <c r="C12" s="4" t="s">
        <v>54</v>
      </c>
      <c r="D12" s="4" t="s">
        <v>182</v>
      </c>
      <c r="E12" s="4" t="s">
        <v>183</v>
      </c>
      <c r="F12" s="4" t="s">
        <v>57</v>
      </c>
      <c r="G12" s="4" t="s">
        <v>206</v>
      </c>
      <c r="H12" s="4" t="s">
        <v>207</v>
      </c>
      <c r="I12" s="4" t="s">
        <v>208</v>
      </c>
      <c r="J12" s="4" t="s">
        <v>209</v>
      </c>
      <c r="K12" s="4" t="s">
        <v>210</v>
      </c>
      <c r="L12" s="4" t="s">
        <v>211</v>
      </c>
      <c r="M12" s="4" t="s">
        <v>94</v>
      </c>
      <c r="N12" s="4"/>
      <c r="O12" s="4"/>
      <c r="P12" s="4" t="s">
        <v>191</v>
      </c>
      <c r="Q12" s="4" t="s">
        <v>68</v>
      </c>
      <c r="R12" s="4" t="s">
        <v>212</v>
      </c>
      <c r="S12" s="4" t="s">
        <v>193</v>
      </c>
      <c r="T12" s="4" t="s">
        <v>71</v>
      </c>
      <c r="U12" s="4" t="s">
        <v>213</v>
      </c>
      <c r="V12" s="4" t="s">
        <v>195</v>
      </c>
      <c r="W12" s="4" t="s">
        <v>74</v>
      </c>
      <c r="X12" s="4" t="s">
        <v>214</v>
      </c>
      <c r="Y12" s="4" t="s">
        <v>197</v>
      </c>
      <c r="Z12" s="4" t="s">
        <v>198</v>
      </c>
      <c r="AA12" s="4" t="s">
        <v>215</v>
      </c>
      <c r="AB12" s="4" t="s">
        <v>200</v>
      </c>
      <c r="AC12" s="4" t="s">
        <v>80</v>
      </c>
      <c r="AD12" s="4" t="s">
        <v>216</v>
      </c>
      <c r="AE12" s="4" t="s">
        <v>202</v>
      </c>
      <c r="AF12" s="4" t="s">
        <v>83</v>
      </c>
      <c r="AG12" s="4" t="s">
        <v>217</v>
      </c>
      <c r="AH12" s="4" t="s">
        <v>218</v>
      </c>
    </row>
    <row r="13" spans="1:34" ht="13.5" customHeight="1">
      <c r="A13" s="5" t="s">
        <v>219</v>
      </c>
      <c r="B13" s="5" t="s">
        <v>53</v>
      </c>
      <c r="C13" s="5" t="s">
        <v>54</v>
      </c>
      <c r="D13" s="5" t="s">
        <v>182</v>
      </c>
      <c r="E13" s="5" t="s">
        <v>183</v>
      </c>
      <c r="F13" s="5" t="s">
        <v>57</v>
      </c>
      <c r="G13" s="5" t="s">
        <v>220</v>
      </c>
      <c r="H13" s="5" t="s">
        <v>221</v>
      </c>
      <c r="I13" s="5" t="s">
        <v>186</v>
      </c>
      <c r="J13" s="5" t="s">
        <v>187</v>
      </c>
      <c r="K13" s="5" t="s">
        <v>222</v>
      </c>
      <c r="L13" s="5" t="s">
        <v>189</v>
      </c>
      <c r="M13" s="5" t="s">
        <v>64</v>
      </c>
      <c r="N13" s="5" t="s">
        <v>116</v>
      </c>
      <c r="O13" s="5" t="s">
        <v>190</v>
      </c>
      <c r="P13" s="5" t="s">
        <v>191</v>
      </c>
      <c r="Q13" s="5" t="s">
        <v>68</v>
      </c>
      <c r="R13" s="5" t="s">
        <v>192</v>
      </c>
      <c r="S13" s="5" t="s">
        <v>193</v>
      </c>
      <c r="T13" s="5" t="s">
        <v>71</v>
      </c>
      <c r="U13" s="5" t="s">
        <v>194</v>
      </c>
      <c r="V13" s="5" t="s">
        <v>195</v>
      </c>
      <c r="W13" s="5" t="s">
        <v>74</v>
      </c>
      <c r="X13" s="5" t="s">
        <v>196</v>
      </c>
      <c r="Y13" s="5" t="s">
        <v>197</v>
      </c>
      <c r="Z13" s="5" t="s">
        <v>198</v>
      </c>
      <c r="AA13" s="5" t="s">
        <v>199</v>
      </c>
      <c r="AB13" s="5" t="s">
        <v>200</v>
      </c>
      <c r="AC13" s="5" t="s">
        <v>80</v>
      </c>
      <c r="AD13" s="5" t="s">
        <v>201</v>
      </c>
      <c r="AE13" s="5" t="s">
        <v>202</v>
      </c>
      <c r="AF13" s="5" t="s">
        <v>83</v>
      </c>
      <c r="AG13" s="5" t="s">
        <v>203</v>
      </c>
      <c r="AH13" s="5" t="s">
        <v>204</v>
      </c>
    </row>
    <row r="14" spans="1:34" ht="13.5" customHeight="1">
      <c r="A14" s="4" t="s">
        <v>223</v>
      </c>
      <c r="B14" s="4" t="s">
        <v>53</v>
      </c>
      <c r="C14" s="4" t="s">
        <v>54</v>
      </c>
      <c r="D14" s="4" t="s">
        <v>182</v>
      </c>
      <c r="E14" s="4" t="s">
        <v>183</v>
      </c>
      <c r="F14" s="4" t="s">
        <v>57</v>
      </c>
      <c r="G14" s="4" t="s">
        <v>224</v>
      </c>
      <c r="H14" s="4" t="s">
        <v>225</v>
      </c>
      <c r="I14" s="4" t="s">
        <v>186</v>
      </c>
      <c r="J14" s="4" t="s">
        <v>187</v>
      </c>
      <c r="K14" s="4" t="s">
        <v>226</v>
      </c>
      <c r="L14" s="4" t="s">
        <v>189</v>
      </c>
      <c r="M14" s="4" t="s">
        <v>64</v>
      </c>
      <c r="N14" s="4" t="s">
        <v>116</v>
      </c>
      <c r="O14" s="4" t="s">
        <v>190</v>
      </c>
      <c r="P14" s="4" t="s">
        <v>191</v>
      </c>
      <c r="Q14" s="4" t="s">
        <v>68</v>
      </c>
      <c r="R14" s="4" t="s">
        <v>192</v>
      </c>
      <c r="S14" s="4" t="s">
        <v>193</v>
      </c>
      <c r="T14" s="4" t="s">
        <v>71</v>
      </c>
      <c r="U14" s="4" t="s">
        <v>194</v>
      </c>
      <c r="V14" s="4" t="s">
        <v>195</v>
      </c>
      <c r="W14" s="4" t="s">
        <v>74</v>
      </c>
      <c r="X14" s="4" t="s">
        <v>196</v>
      </c>
      <c r="Y14" s="4" t="s">
        <v>197</v>
      </c>
      <c r="Z14" s="4" t="s">
        <v>198</v>
      </c>
      <c r="AA14" s="4" t="s">
        <v>199</v>
      </c>
      <c r="AB14" s="4" t="s">
        <v>200</v>
      </c>
      <c r="AC14" s="4" t="s">
        <v>80</v>
      </c>
      <c r="AD14" s="4" t="s">
        <v>201</v>
      </c>
      <c r="AE14" s="4" t="s">
        <v>202</v>
      </c>
      <c r="AF14" s="4" t="s">
        <v>83</v>
      </c>
      <c r="AG14" s="4" t="s">
        <v>203</v>
      </c>
      <c r="AH14" s="4" t="s">
        <v>204</v>
      </c>
    </row>
    <row r="15" spans="1:34" ht="13.5" customHeight="1">
      <c r="A15" s="5" t="s">
        <v>227</v>
      </c>
      <c r="B15" s="5" t="s">
        <v>53</v>
      </c>
      <c r="C15" s="5" t="s">
        <v>54</v>
      </c>
      <c r="D15" s="5" t="s">
        <v>182</v>
      </c>
      <c r="E15" s="5" t="s">
        <v>183</v>
      </c>
      <c r="F15" s="5" t="s">
        <v>57</v>
      </c>
      <c r="G15" s="5" t="s">
        <v>228</v>
      </c>
      <c r="H15" s="5" t="s">
        <v>229</v>
      </c>
      <c r="I15" s="5" t="s">
        <v>186</v>
      </c>
      <c r="J15" s="5" t="s">
        <v>187</v>
      </c>
      <c r="K15" s="5" t="s">
        <v>230</v>
      </c>
      <c r="L15" s="5" t="s">
        <v>189</v>
      </c>
      <c r="M15" s="5" t="s">
        <v>64</v>
      </c>
      <c r="N15" s="5" t="s">
        <v>116</v>
      </c>
      <c r="O15" s="5" t="s">
        <v>190</v>
      </c>
      <c r="P15" s="5" t="s">
        <v>191</v>
      </c>
      <c r="Q15" s="5" t="s">
        <v>68</v>
      </c>
      <c r="R15" s="5" t="s">
        <v>192</v>
      </c>
      <c r="S15" s="5" t="s">
        <v>193</v>
      </c>
      <c r="T15" s="5" t="s">
        <v>71</v>
      </c>
      <c r="U15" s="5" t="s">
        <v>194</v>
      </c>
      <c r="V15" s="5" t="s">
        <v>195</v>
      </c>
      <c r="W15" s="5" t="s">
        <v>74</v>
      </c>
      <c r="X15" s="5" t="s">
        <v>196</v>
      </c>
      <c r="Y15" s="5" t="s">
        <v>197</v>
      </c>
      <c r="Z15" s="5" t="s">
        <v>198</v>
      </c>
      <c r="AA15" s="5" t="s">
        <v>199</v>
      </c>
      <c r="AB15" s="5" t="s">
        <v>200</v>
      </c>
      <c r="AC15" s="5" t="s">
        <v>80</v>
      </c>
      <c r="AD15" s="5" t="s">
        <v>201</v>
      </c>
      <c r="AE15" s="5" t="s">
        <v>202</v>
      </c>
      <c r="AF15" s="5" t="s">
        <v>83</v>
      </c>
      <c r="AG15" s="5" t="s">
        <v>203</v>
      </c>
      <c r="AH15" s="5" t="s">
        <v>204</v>
      </c>
    </row>
    <row r="16" spans="1:34" ht="13.5" customHeight="1">
      <c r="A16" s="4" t="s">
        <v>231</v>
      </c>
      <c r="B16" s="4" t="s">
        <v>53</v>
      </c>
      <c r="C16" s="4" t="s">
        <v>54</v>
      </c>
      <c r="D16" s="4" t="s">
        <v>182</v>
      </c>
      <c r="E16" s="4" t="s">
        <v>183</v>
      </c>
      <c r="F16" s="4" t="s">
        <v>57</v>
      </c>
      <c r="G16" s="4" t="s">
        <v>232</v>
      </c>
      <c r="H16" s="4" t="s">
        <v>233</v>
      </c>
      <c r="I16" s="4" t="s">
        <v>186</v>
      </c>
      <c r="J16" s="4" t="s">
        <v>187</v>
      </c>
      <c r="K16" s="4" t="s">
        <v>234</v>
      </c>
      <c r="L16" s="4" t="s">
        <v>189</v>
      </c>
      <c r="M16" s="4" t="s">
        <v>64</v>
      </c>
      <c r="N16" s="4" t="s">
        <v>116</v>
      </c>
      <c r="O16" s="4" t="s">
        <v>190</v>
      </c>
      <c r="P16" s="4" t="s">
        <v>191</v>
      </c>
      <c r="Q16" s="4" t="s">
        <v>68</v>
      </c>
      <c r="R16" s="4" t="s">
        <v>192</v>
      </c>
      <c r="S16" s="4" t="s">
        <v>193</v>
      </c>
      <c r="T16" s="4" t="s">
        <v>71</v>
      </c>
      <c r="U16" s="4" t="s">
        <v>194</v>
      </c>
      <c r="V16" s="4" t="s">
        <v>195</v>
      </c>
      <c r="W16" s="4" t="s">
        <v>74</v>
      </c>
      <c r="X16" s="4" t="s">
        <v>196</v>
      </c>
      <c r="Y16" s="4" t="s">
        <v>197</v>
      </c>
      <c r="Z16" s="4" t="s">
        <v>198</v>
      </c>
      <c r="AA16" s="4" t="s">
        <v>199</v>
      </c>
      <c r="AB16" s="4" t="s">
        <v>200</v>
      </c>
      <c r="AC16" s="4" t="s">
        <v>80</v>
      </c>
      <c r="AD16" s="4" t="s">
        <v>201</v>
      </c>
      <c r="AE16" s="4" t="s">
        <v>202</v>
      </c>
      <c r="AF16" s="4" t="s">
        <v>83</v>
      </c>
      <c r="AG16" s="4" t="s">
        <v>203</v>
      </c>
      <c r="AH16" s="4" t="s">
        <v>204</v>
      </c>
    </row>
    <row r="17" spans="1:34" ht="13.5" customHeight="1">
      <c r="A17" s="5" t="s">
        <v>235</v>
      </c>
      <c r="B17" s="5" t="s">
        <v>53</v>
      </c>
      <c r="C17" s="5" t="s">
        <v>54</v>
      </c>
      <c r="D17" s="5" t="s">
        <v>182</v>
      </c>
      <c r="E17" s="5" t="s">
        <v>183</v>
      </c>
      <c r="F17" s="5" t="s">
        <v>57</v>
      </c>
      <c r="G17" s="5" t="s">
        <v>236</v>
      </c>
      <c r="H17" s="5" t="s">
        <v>237</v>
      </c>
      <c r="I17" s="5" t="s">
        <v>186</v>
      </c>
      <c r="J17" s="5" t="s">
        <v>187</v>
      </c>
      <c r="K17" s="5" t="s">
        <v>238</v>
      </c>
      <c r="L17" s="5" t="s">
        <v>189</v>
      </c>
      <c r="M17" s="5" t="s">
        <v>64</v>
      </c>
      <c r="N17" s="5" t="s">
        <v>116</v>
      </c>
      <c r="O17" s="5" t="s">
        <v>190</v>
      </c>
      <c r="P17" s="5" t="s">
        <v>191</v>
      </c>
      <c r="Q17" s="5" t="s">
        <v>68</v>
      </c>
      <c r="R17" s="5" t="s">
        <v>192</v>
      </c>
      <c r="S17" s="5" t="s">
        <v>193</v>
      </c>
      <c r="T17" s="5" t="s">
        <v>71</v>
      </c>
      <c r="U17" s="5" t="s">
        <v>194</v>
      </c>
      <c r="V17" s="5" t="s">
        <v>195</v>
      </c>
      <c r="W17" s="5" t="s">
        <v>74</v>
      </c>
      <c r="X17" s="5" t="s">
        <v>196</v>
      </c>
      <c r="Y17" s="5" t="s">
        <v>197</v>
      </c>
      <c r="Z17" s="5" t="s">
        <v>198</v>
      </c>
      <c r="AA17" s="5" t="s">
        <v>199</v>
      </c>
      <c r="AB17" s="5" t="s">
        <v>200</v>
      </c>
      <c r="AC17" s="5" t="s">
        <v>80</v>
      </c>
      <c r="AD17" s="5" t="s">
        <v>201</v>
      </c>
      <c r="AE17" s="5" t="s">
        <v>202</v>
      </c>
      <c r="AF17" s="5" t="s">
        <v>83</v>
      </c>
      <c r="AG17" s="5" t="s">
        <v>203</v>
      </c>
      <c r="AH17" s="5" t="s">
        <v>204</v>
      </c>
    </row>
    <row r="18" spans="1:34" ht="13.5" customHeight="1">
      <c r="A18" s="4" t="s">
        <v>239</v>
      </c>
      <c r="B18" s="4" t="s">
        <v>53</v>
      </c>
      <c r="C18" s="4" t="s">
        <v>54</v>
      </c>
      <c r="D18" s="4" t="s">
        <v>182</v>
      </c>
      <c r="E18" s="4" t="s">
        <v>183</v>
      </c>
      <c r="F18" s="4" t="s">
        <v>57</v>
      </c>
      <c r="G18" s="4" t="s">
        <v>240</v>
      </c>
      <c r="H18" s="4" t="s">
        <v>241</v>
      </c>
      <c r="I18" s="4" t="s">
        <v>186</v>
      </c>
      <c r="J18" s="4" t="s">
        <v>187</v>
      </c>
      <c r="K18" s="4" t="s">
        <v>242</v>
      </c>
      <c r="L18" s="4" t="s">
        <v>189</v>
      </c>
      <c r="M18" s="4" t="s">
        <v>64</v>
      </c>
      <c r="N18" s="4" t="s">
        <v>116</v>
      </c>
      <c r="O18" s="4" t="s">
        <v>190</v>
      </c>
      <c r="P18" s="4" t="s">
        <v>191</v>
      </c>
      <c r="Q18" s="4" t="s">
        <v>68</v>
      </c>
      <c r="R18" s="4" t="s">
        <v>192</v>
      </c>
      <c r="S18" s="4" t="s">
        <v>193</v>
      </c>
      <c r="T18" s="4" t="s">
        <v>71</v>
      </c>
      <c r="U18" s="4" t="s">
        <v>194</v>
      </c>
      <c r="V18" s="4" t="s">
        <v>195</v>
      </c>
      <c r="W18" s="4" t="s">
        <v>74</v>
      </c>
      <c r="X18" s="4" t="s">
        <v>196</v>
      </c>
      <c r="Y18" s="4" t="s">
        <v>197</v>
      </c>
      <c r="Z18" s="4" t="s">
        <v>198</v>
      </c>
      <c r="AA18" s="4" t="s">
        <v>199</v>
      </c>
      <c r="AB18" s="4" t="s">
        <v>200</v>
      </c>
      <c r="AC18" s="4" t="s">
        <v>80</v>
      </c>
      <c r="AD18" s="4" t="s">
        <v>201</v>
      </c>
      <c r="AE18" s="4" t="s">
        <v>202</v>
      </c>
      <c r="AF18" s="4" t="s">
        <v>83</v>
      </c>
      <c r="AG18" s="4" t="s">
        <v>203</v>
      </c>
      <c r="AH18" s="4" t="s">
        <v>204</v>
      </c>
    </row>
    <row r="19" spans="1:34" ht="13.5" customHeight="1">
      <c r="A19" s="5" t="s">
        <v>243</v>
      </c>
      <c r="B19" s="5" t="s">
        <v>53</v>
      </c>
      <c r="C19" s="5" t="s">
        <v>54</v>
      </c>
      <c r="D19" s="5" t="s">
        <v>182</v>
      </c>
      <c r="E19" s="5" t="s">
        <v>244</v>
      </c>
      <c r="F19" s="5" t="s">
        <v>57</v>
      </c>
      <c r="G19" s="5" t="s">
        <v>245</v>
      </c>
      <c r="H19" s="5" t="s">
        <v>246</v>
      </c>
      <c r="I19" s="5" t="s">
        <v>247</v>
      </c>
      <c r="J19" s="5" t="s">
        <v>248</v>
      </c>
      <c r="K19" s="5" t="s">
        <v>249</v>
      </c>
      <c r="L19" s="5" t="s">
        <v>250</v>
      </c>
      <c r="M19" s="5" t="s">
        <v>94</v>
      </c>
      <c r="N19" s="5" t="s">
        <v>116</v>
      </c>
      <c r="O19" s="5" t="s">
        <v>251</v>
      </c>
      <c r="P19" s="5" t="s">
        <v>252</v>
      </c>
      <c r="Q19" s="5" t="s">
        <v>68</v>
      </c>
      <c r="R19" s="5" t="s">
        <v>253</v>
      </c>
      <c r="S19" s="5" t="s">
        <v>254</v>
      </c>
      <c r="T19" s="5" t="s">
        <v>71</v>
      </c>
      <c r="U19" s="5" t="s">
        <v>255</v>
      </c>
      <c r="V19" s="5" t="s">
        <v>256</v>
      </c>
      <c r="W19" s="5" t="s">
        <v>74</v>
      </c>
      <c r="X19" s="5" t="s">
        <v>257</v>
      </c>
      <c r="Y19" s="5" t="s">
        <v>258</v>
      </c>
      <c r="Z19" s="5" t="s">
        <v>198</v>
      </c>
      <c r="AA19" s="5" t="s">
        <v>259</v>
      </c>
      <c r="AB19" s="5" t="s">
        <v>260</v>
      </c>
      <c r="AC19" s="5" t="s">
        <v>80</v>
      </c>
      <c r="AD19" s="5" t="s">
        <v>261</v>
      </c>
      <c r="AE19" s="5" t="s">
        <v>262</v>
      </c>
      <c r="AF19" s="5" t="s">
        <v>83</v>
      </c>
      <c r="AG19" s="5" t="s">
        <v>263</v>
      </c>
      <c r="AH19" s="5" t="s">
        <v>204</v>
      </c>
    </row>
    <row r="20" spans="1:34" ht="13.5" hidden="1" customHeight="1">
      <c r="A20" s="4" t="s">
        <v>264</v>
      </c>
      <c r="B20" s="4" t="s">
        <v>87</v>
      </c>
      <c r="C20" s="4" t="s">
        <v>54</v>
      </c>
      <c r="D20" s="4" t="s">
        <v>182</v>
      </c>
      <c r="E20" s="4" t="s">
        <v>244</v>
      </c>
      <c r="F20" s="4" t="s">
        <v>57</v>
      </c>
      <c r="G20" s="4" t="s">
        <v>265</v>
      </c>
      <c r="H20" s="4" t="s">
        <v>266</v>
      </c>
      <c r="I20" s="4" t="s">
        <v>267</v>
      </c>
      <c r="J20" s="4" t="s">
        <v>268</v>
      </c>
      <c r="K20" s="4" t="s">
        <v>269</v>
      </c>
      <c r="L20" s="4" t="s">
        <v>270</v>
      </c>
      <c r="M20" s="4" t="s">
        <v>94</v>
      </c>
      <c r="N20" s="4"/>
      <c r="O20" s="4"/>
      <c r="P20" s="4" t="s">
        <v>252</v>
      </c>
      <c r="Q20" s="4" t="s">
        <v>68</v>
      </c>
      <c r="R20" s="4" t="s">
        <v>271</v>
      </c>
      <c r="S20" s="4" t="s">
        <v>254</v>
      </c>
      <c r="T20" s="4" t="s">
        <v>71</v>
      </c>
      <c r="U20" s="4" t="s">
        <v>272</v>
      </c>
      <c r="V20" s="4" t="s">
        <v>256</v>
      </c>
      <c r="W20" s="4" t="s">
        <v>74</v>
      </c>
      <c r="X20" s="4" t="s">
        <v>273</v>
      </c>
      <c r="Y20" s="4" t="s">
        <v>258</v>
      </c>
      <c r="Z20" s="4" t="s">
        <v>198</v>
      </c>
      <c r="AA20" s="4" t="s">
        <v>274</v>
      </c>
      <c r="AB20" s="4" t="s">
        <v>260</v>
      </c>
      <c r="AC20" s="4" t="s">
        <v>80</v>
      </c>
      <c r="AD20" s="4" t="s">
        <v>275</v>
      </c>
      <c r="AE20" s="4" t="s">
        <v>262</v>
      </c>
      <c r="AF20" s="4" t="s">
        <v>83</v>
      </c>
      <c r="AG20" s="4" t="s">
        <v>276</v>
      </c>
      <c r="AH20" s="4" t="s">
        <v>218</v>
      </c>
    </row>
    <row r="21" spans="1:34" ht="13.5" customHeight="1">
      <c r="A21" s="5" t="s">
        <v>277</v>
      </c>
      <c r="B21" s="5" t="s">
        <v>53</v>
      </c>
      <c r="C21" s="5" t="s">
        <v>54</v>
      </c>
      <c r="D21" s="5" t="s">
        <v>182</v>
      </c>
      <c r="E21" s="5" t="s">
        <v>244</v>
      </c>
      <c r="F21" s="5" t="s">
        <v>57</v>
      </c>
      <c r="G21" s="5" t="s">
        <v>278</v>
      </c>
      <c r="H21" s="5" t="s">
        <v>279</v>
      </c>
      <c r="I21" s="5" t="s">
        <v>247</v>
      </c>
      <c r="J21" s="5" t="s">
        <v>248</v>
      </c>
      <c r="K21" s="5" t="s">
        <v>280</v>
      </c>
      <c r="L21" s="5" t="s">
        <v>250</v>
      </c>
      <c r="M21" s="5" t="s">
        <v>94</v>
      </c>
      <c r="N21" s="5" t="s">
        <v>116</v>
      </c>
      <c r="O21" s="5" t="s">
        <v>281</v>
      </c>
      <c r="P21" s="5" t="s">
        <v>252</v>
      </c>
      <c r="Q21" s="5" t="s">
        <v>68</v>
      </c>
      <c r="R21" s="5" t="s">
        <v>253</v>
      </c>
      <c r="S21" s="5" t="s">
        <v>254</v>
      </c>
      <c r="T21" s="5" t="s">
        <v>71</v>
      </c>
      <c r="U21" s="5" t="s">
        <v>255</v>
      </c>
      <c r="V21" s="5" t="s">
        <v>256</v>
      </c>
      <c r="W21" s="5" t="s">
        <v>74</v>
      </c>
      <c r="X21" s="5" t="s">
        <v>257</v>
      </c>
      <c r="Y21" s="5" t="s">
        <v>258</v>
      </c>
      <c r="Z21" s="5" t="s">
        <v>198</v>
      </c>
      <c r="AA21" s="5" t="s">
        <v>259</v>
      </c>
      <c r="AB21" s="5" t="s">
        <v>260</v>
      </c>
      <c r="AC21" s="5" t="s">
        <v>80</v>
      </c>
      <c r="AD21" s="5" t="s">
        <v>261</v>
      </c>
      <c r="AE21" s="5" t="s">
        <v>262</v>
      </c>
      <c r="AF21" s="5" t="s">
        <v>83</v>
      </c>
      <c r="AG21" s="5" t="s">
        <v>263</v>
      </c>
      <c r="AH21" s="5" t="s">
        <v>204</v>
      </c>
    </row>
    <row r="22" spans="1:34" ht="13.5" customHeight="1">
      <c r="A22" s="4" t="s">
        <v>282</v>
      </c>
      <c r="B22" s="4" t="s">
        <v>53</v>
      </c>
      <c r="C22" s="4" t="s">
        <v>54</v>
      </c>
      <c r="D22" s="4" t="s">
        <v>182</v>
      </c>
      <c r="E22" s="4" t="s">
        <v>244</v>
      </c>
      <c r="F22" s="4" t="s">
        <v>57</v>
      </c>
      <c r="G22" s="4" t="s">
        <v>283</v>
      </c>
      <c r="H22" s="4" t="s">
        <v>284</v>
      </c>
      <c r="I22" s="4" t="s">
        <v>247</v>
      </c>
      <c r="J22" s="4" t="s">
        <v>248</v>
      </c>
      <c r="K22" s="4" t="s">
        <v>285</v>
      </c>
      <c r="L22" s="4" t="s">
        <v>250</v>
      </c>
      <c r="M22" s="4" t="s">
        <v>94</v>
      </c>
      <c r="N22" s="4" t="s">
        <v>116</v>
      </c>
      <c r="O22" s="4" t="s">
        <v>281</v>
      </c>
      <c r="P22" s="4" t="s">
        <v>252</v>
      </c>
      <c r="Q22" s="4" t="s">
        <v>68</v>
      </c>
      <c r="R22" s="4" t="s">
        <v>253</v>
      </c>
      <c r="S22" s="4" t="s">
        <v>254</v>
      </c>
      <c r="T22" s="4" t="s">
        <v>71</v>
      </c>
      <c r="U22" s="4" t="s">
        <v>255</v>
      </c>
      <c r="V22" s="4" t="s">
        <v>256</v>
      </c>
      <c r="W22" s="4" t="s">
        <v>74</v>
      </c>
      <c r="X22" s="4" t="s">
        <v>257</v>
      </c>
      <c r="Y22" s="4" t="s">
        <v>258</v>
      </c>
      <c r="Z22" s="4" t="s">
        <v>198</v>
      </c>
      <c r="AA22" s="4" t="s">
        <v>259</v>
      </c>
      <c r="AB22" s="4" t="s">
        <v>260</v>
      </c>
      <c r="AC22" s="4" t="s">
        <v>80</v>
      </c>
      <c r="AD22" s="4" t="s">
        <v>261</v>
      </c>
      <c r="AE22" s="4" t="s">
        <v>262</v>
      </c>
      <c r="AF22" s="4" t="s">
        <v>83</v>
      </c>
      <c r="AG22" s="4" t="s">
        <v>263</v>
      </c>
      <c r="AH22" s="4" t="s">
        <v>204</v>
      </c>
    </row>
    <row r="23" spans="1:34" ht="13.5" customHeight="1">
      <c r="A23" s="5" t="s">
        <v>286</v>
      </c>
      <c r="B23" s="5" t="s">
        <v>53</v>
      </c>
      <c r="C23" s="5" t="s">
        <v>54</v>
      </c>
      <c r="D23" s="5" t="s">
        <v>182</v>
      </c>
      <c r="E23" s="5" t="s">
        <v>244</v>
      </c>
      <c r="F23" s="5" t="s">
        <v>57</v>
      </c>
      <c r="G23" s="5" t="s">
        <v>287</v>
      </c>
      <c r="H23" s="5" t="s">
        <v>288</v>
      </c>
      <c r="I23" s="5" t="s">
        <v>247</v>
      </c>
      <c r="J23" s="5" t="s">
        <v>248</v>
      </c>
      <c r="K23" s="5" t="s">
        <v>289</v>
      </c>
      <c r="L23" s="5" t="s">
        <v>250</v>
      </c>
      <c r="M23" s="5" t="s">
        <v>94</v>
      </c>
      <c r="N23" s="5" t="s">
        <v>116</v>
      </c>
      <c r="O23" s="5" t="s">
        <v>281</v>
      </c>
      <c r="P23" s="5" t="s">
        <v>252</v>
      </c>
      <c r="Q23" s="5" t="s">
        <v>68</v>
      </c>
      <c r="R23" s="5" t="s">
        <v>253</v>
      </c>
      <c r="S23" s="5" t="s">
        <v>254</v>
      </c>
      <c r="T23" s="5" t="s">
        <v>71</v>
      </c>
      <c r="U23" s="5" t="s">
        <v>255</v>
      </c>
      <c r="V23" s="5" t="s">
        <v>256</v>
      </c>
      <c r="W23" s="5" t="s">
        <v>74</v>
      </c>
      <c r="X23" s="5" t="s">
        <v>257</v>
      </c>
      <c r="Y23" s="5" t="s">
        <v>258</v>
      </c>
      <c r="Z23" s="5" t="s">
        <v>198</v>
      </c>
      <c r="AA23" s="5" t="s">
        <v>259</v>
      </c>
      <c r="AB23" s="5" t="s">
        <v>260</v>
      </c>
      <c r="AC23" s="5" t="s">
        <v>80</v>
      </c>
      <c r="AD23" s="5" t="s">
        <v>261</v>
      </c>
      <c r="AE23" s="5" t="s">
        <v>262</v>
      </c>
      <c r="AF23" s="5" t="s">
        <v>83</v>
      </c>
      <c r="AG23" s="5" t="s">
        <v>263</v>
      </c>
      <c r="AH23" s="5" t="s">
        <v>204</v>
      </c>
    </row>
    <row r="24" spans="1:34" ht="13.5" customHeight="1">
      <c r="A24" s="4" t="s">
        <v>290</v>
      </c>
      <c r="B24" s="4" t="s">
        <v>53</v>
      </c>
      <c r="C24" s="4" t="s">
        <v>54</v>
      </c>
      <c r="D24" s="4" t="s">
        <v>182</v>
      </c>
      <c r="E24" s="4" t="s">
        <v>244</v>
      </c>
      <c r="F24" s="4" t="s">
        <v>57</v>
      </c>
      <c r="G24" s="4" t="s">
        <v>291</v>
      </c>
      <c r="H24" s="4" t="s">
        <v>292</v>
      </c>
      <c r="I24" s="4" t="s">
        <v>247</v>
      </c>
      <c r="J24" s="4" t="s">
        <v>248</v>
      </c>
      <c r="K24" s="4" t="s">
        <v>293</v>
      </c>
      <c r="L24" s="4" t="s">
        <v>250</v>
      </c>
      <c r="M24" s="4" t="s">
        <v>94</v>
      </c>
      <c r="N24" s="4" t="s">
        <v>116</v>
      </c>
      <c r="O24" s="4" t="s">
        <v>281</v>
      </c>
      <c r="P24" s="4" t="s">
        <v>252</v>
      </c>
      <c r="Q24" s="4" t="s">
        <v>68</v>
      </c>
      <c r="R24" s="4" t="s">
        <v>253</v>
      </c>
      <c r="S24" s="4" t="s">
        <v>254</v>
      </c>
      <c r="T24" s="4" t="s">
        <v>71</v>
      </c>
      <c r="U24" s="4" t="s">
        <v>255</v>
      </c>
      <c r="V24" s="4" t="s">
        <v>256</v>
      </c>
      <c r="W24" s="4" t="s">
        <v>74</v>
      </c>
      <c r="X24" s="4" t="s">
        <v>257</v>
      </c>
      <c r="Y24" s="4" t="s">
        <v>258</v>
      </c>
      <c r="Z24" s="4" t="s">
        <v>198</v>
      </c>
      <c r="AA24" s="4" t="s">
        <v>259</v>
      </c>
      <c r="AB24" s="4" t="s">
        <v>260</v>
      </c>
      <c r="AC24" s="4" t="s">
        <v>80</v>
      </c>
      <c r="AD24" s="4" t="s">
        <v>261</v>
      </c>
      <c r="AE24" s="4" t="s">
        <v>262</v>
      </c>
      <c r="AF24" s="4" t="s">
        <v>83</v>
      </c>
      <c r="AG24" s="4" t="s">
        <v>263</v>
      </c>
      <c r="AH24" s="4" t="s">
        <v>204</v>
      </c>
    </row>
    <row r="25" spans="1:34" ht="13.5" customHeight="1">
      <c r="A25" s="5" t="s">
        <v>294</v>
      </c>
      <c r="B25" s="5" t="s">
        <v>53</v>
      </c>
      <c r="C25" s="5" t="s">
        <v>54</v>
      </c>
      <c r="D25" s="5" t="s">
        <v>182</v>
      </c>
      <c r="E25" s="5" t="s">
        <v>244</v>
      </c>
      <c r="F25" s="5" t="s">
        <v>57</v>
      </c>
      <c r="G25" s="5" t="s">
        <v>295</v>
      </c>
      <c r="H25" s="5" t="s">
        <v>296</v>
      </c>
      <c r="I25" s="5" t="s">
        <v>247</v>
      </c>
      <c r="J25" s="5" t="s">
        <v>248</v>
      </c>
      <c r="K25" s="5" t="s">
        <v>297</v>
      </c>
      <c r="L25" s="5" t="s">
        <v>250</v>
      </c>
      <c r="M25" s="5" t="s">
        <v>94</v>
      </c>
      <c r="N25" s="5" t="s">
        <v>116</v>
      </c>
      <c r="O25" s="5" t="s">
        <v>281</v>
      </c>
      <c r="P25" s="5" t="s">
        <v>252</v>
      </c>
      <c r="Q25" s="5" t="s">
        <v>68</v>
      </c>
      <c r="R25" s="5" t="s">
        <v>253</v>
      </c>
      <c r="S25" s="5" t="s">
        <v>254</v>
      </c>
      <c r="T25" s="5" t="s">
        <v>71</v>
      </c>
      <c r="U25" s="5" t="s">
        <v>255</v>
      </c>
      <c r="V25" s="5" t="s">
        <v>256</v>
      </c>
      <c r="W25" s="5" t="s">
        <v>74</v>
      </c>
      <c r="X25" s="5" t="s">
        <v>257</v>
      </c>
      <c r="Y25" s="5" t="s">
        <v>258</v>
      </c>
      <c r="Z25" s="5" t="s">
        <v>198</v>
      </c>
      <c r="AA25" s="5" t="s">
        <v>259</v>
      </c>
      <c r="AB25" s="5" t="s">
        <v>260</v>
      </c>
      <c r="AC25" s="5" t="s">
        <v>80</v>
      </c>
      <c r="AD25" s="5" t="s">
        <v>261</v>
      </c>
      <c r="AE25" s="5" t="s">
        <v>262</v>
      </c>
      <c r="AF25" s="5" t="s">
        <v>83</v>
      </c>
      <c r="AG25" s="5" t="s">
        <v>263</v>
      </c>
      <c r="AH25" s="5" t="s">
        <v>204</v>
      </c>
    </row>
    <row r="26" spans="1:34" ht="13.5" customHeight="1">
      <c r="A26" s="4" t="s">
        <v>298</v>
      </c>
      <c r="B26" s="4" t="s">
        <v>53</v>
      </c>
      <c r="C26" s="4" t="s">
        <v>54</v>
      </c>
      <c r="D26" s="4" t="s">
        <v>182</v>
      </c>
      <c r="E26" s="4" t="s">
        <v>244</v>
      </c>
      <c r="F26" s="4" t="s">
        <v>57</v>
      </c>
      <c r="G26" s="4" t="s">
        <v>299</v>
      </c>
      <c r="H26" s="4" t="s">
        <v>300</v>
      </c>
      <c r="I26" s="4" t="s">
        <v>247</v>
      </c>
      <c r="J26" s="4" t="s">
        <v>248</v>
      </c>
      <c r="K26" s="4" t="s">
        <v>301</v>
      </c>
      <c r="L26" s="4" t="s">
        <v>250</v>
      </c>
      <c r="M26" s="4" t="s">
        <v>94</v>
      </c>
      <c r="N26" s="4" t="s">
        <v>116</v>
      </c>
      <c r="O26" s="4" t="s">
        <v>281</v>
      </c>
      <c r="P26" s="4" t="s">
        <v>252</v>
      </c>
      <c r="Q26" s="4" t="s">
        <v>68</v>
      </c>
      <c r="R26" s="4" t="s">
        <v>253</v>
      </c>
      <c r="S26" s="4" t="s">
        <v>254</v>
      </c>
      <c r="T26" s="4" t="s">
        <v>71</v>
      </c>
      <c r="U26" s="4" t="s">
        <v>255</v>
      </c>
      <c r="V26" s="4" t="s">
        <v>256</v>
      </c>
      <c r="W26" s="4" t="s">
        <v>74</v>
      </c>
      <c r="X26" s="4" t="s">
        <v>257</v>
      </c>
      <c r="Y26" s="4" t="s">
        <v>258</v>
      </c>
      <c r="Z26" s="4" t="s">
        <v>198</v>
      </c>
      <c r="AA26" s="4" t="s">
        <v>259</v>
      </c>
      <c r="AB26" s="4" t="s">
        <v>260</v>
      </c>
      <c r="AC26" s="4" t="s">
        <v>80</v>
      </c>
      <c r="AD26" s="4" t="s">
        <v>261</v>
      </c>
      <c r="AE26" s="4" t="s">
        <v>262</v>
      </c>
      <c r="AF26" s="4" t="s">
        <v>83</v>
      </c>
      <c r="AG26" s="4" t="s">
        <v>263</v>
      </c>
      <c r="AH26" s="4" t="s">
        <v>204</v>
      </c>
    </row>
    <row r="27" spans="1:34" ht="13.5" customHeight="1">
      <c r="A27" s="5" t="s">
        <v>302</v>
      </c>
      <c r="B27" s="5" t="s">
        <v>53</v>
      </c>
      <c r="C27" s="5" t="s">
        <v>54</v>
      </c>
      <c r="D27" s="5" t="s">
        <v>182</v>
      </c>
      <c r="E27" s="5" t="s">
        <v>244</v>
      </c>
      <c r="F27" s="5" t="s">
        <v>57</v>
      </c>
      <c r="G27" s="5" t="s">
        <v>303</v>
      </c>
      <c r="H27" s="5" t="s">
        <v>304</v>
      </c>
      <c r="I27" s="5" t="s">
        <v>247</v>
      </c>
      <c r="J27" s="5" t="s">
        <v>248</v>
      </c>
      <c r="K27" s="5" t="s">
        <v>305</v>
      </c>
      <c r="L27" s="5" t="s">
        <v>250</v>
      </c>
      <c r="M27" s="5" t="s">
        <v>94</v>
      </c>
      <c r="N27" s="5" t="s">
        <v>116</v>
      </c>
      <c r="O27" s="5" t="s">
        <v>281</v>
      </c>
      <c r="P27" s="5" t="s">
        <v>252</v>
      </c>
      <c r="Q27" s="5" t="s">
        <v>68</v>
      </c>
      <c r="R27" s="5" t="s">
        <v>253</v>
      </c>
      <c r="S27" s="5" t="s">
        <v>254</v>
      </c>
      <c r="T27" s="5" t="s">
        <v>71</v>
      </c>
      <c r="U27" s="5" t="s">
        <v>255</v>
      </c>
      <c r="V27" s="5" t="s">
        <v>256</v>
      </c>
      <c r="W27" s="5" t="s">
        <v>74</v>
      </c>
      <c r="X27" s="5" t="s">
        <v>257</v>
      </c>
      <c r="Y27" s="5" t="s">
        <v>258</v>
      </c>
      <c r="Z27" s="5" t="s">
        <v>198</v>
      </c>
      <c r="AA27" s="5" t="s">
        <v>259</v>
      </c>
      <c r="AB27" s="5" t="s">
        <v>260</v>
      </c>
      <c r="AC27" s="5" t="s">
        <v>80</v>
      </c>
      <c r="AD27" s="5" t="s">
        <v>261</v>
      </c>
      <c r="AE27" s="5" t="s">
        <v>262</v>
      </c>
      <c r="AF27" s="5" t="s">
        <v>83</v>
      </c>
      <c r="AG27" s="5" t="s">
        <v>263</v>
      </c>
      <c r="AH27" s="5" t="s">
        <v>204</v>
      </c>
    </row>
    <row r="28" spans="1:34" ht="13.5" customHeight="1">
      <c r="A28" s="4" t="s">
        <v>306</v>
      </c>
      <c r="B28" s="4" t="s">
        <v>53</v>
      </c>
      <c r="C28" s="4" t="s">
        <v>54</v>
      </c>
      <c r="D28" s="4" t="s">
        <v>182</v>
      </c>
      <c r="E28" s="4" t="s">
        <v>244</v>
      </c>
      <c r="F28" s="4" t="s">
        <v>57</v>
      </c>
      <c r="G28" s="4" t="s">
        <v>307</v>
      </c>
      <c r="H28" s="4" t="s">
        <v>308</v>
      </c>
      <c r="I28" s="4" t="s">
        <v>247</v>
      </c>
      <c r="J28" s="4" t="s">
        <v>248</v>
      </c>
      <c r="K28" s="4" t="s">
        <v>309</v>
      </c>
      <c r="L28" s="4" t="s">
        <v>250</v>
      </c>
      <c r="M28" s="4" t="s">
        <v>94</v>
      </c>
      <c r="N28" s="4" t="s">
        <v>116</v>
      </c>
      <c r="O28" s="4" t="s">
        <v>281</v>
      </c>
      <c r="P28" s="4" t="s">
        <v>252</v>
      </c>
      <c r="Q28" s="4" t="s">
        <v>68</v>
      </c>
      <c r="R28" s="4" t="s">
        <v>253</v>
      </c>
      <c r="S28" s="4" t="s">
        <v>254</v>
      </c>
      <c r="T28" s="4" t="s">
        <v>71</v>
      </c>
      <c r="U28" s="4" t="s">
        <v>255</v>
      </c>
      <c r="V28" s="4" t="s">
        <v>256</v>
      </c>
      <c r="W28" s="4" t="s">
        <v>74</v>
      </c>
      <c r="X28" s="4" t="s">
        <v>257</v>
      </c>
      <c r="Y28" s="4" t="s">
        <v>258</v>
      </c>
      <c r="Z28" s="4" t="s">
        <v>198</v>
      </c>
      <c r="AA28" s="4" t="s">
        <v>259</v>
      </c>
      <c r="AB28" s="4" t="s">
        <v>260</v>
      </c>
      <c r="AC28" s="4" t="s">
        <v>80</v>
      </c>
      <c r="AD28" s="4" t="s">
        <v>261</v>
      </c>
      <c r="AE28" s="4" t="s">
        <v>262</v>
      </c>
      <c r="AF28" s="4" t="s">
        <v>83</v>
      </c>
      <c r="AG28" s="4" t="s">
        <v>263</v>
      </c>
      <c r="AH28" s="4" t="s">
        <v>204</v>
      </c>
    </row>
    <row r="29" spans="1:34" ht="13.5" customHeight="1">
      <c r="A29" s="5" t="s">
        <v>310</v>
      </c>
      <c r="B29" s="5" t="s">
        <v>53</v>
      </c>
      <c r="C29" s="5" t="s">
        <v>54</v>
      </c>
      <c r="D29" s="5" t="s">
        <v>182</v>
      </c>
      <c r="E29" s="5" t="s">
        <v>244</v>
      </c>
      <c r="F29" s="5" t="s">
        <v>57</v>
      </c>
      <c r="G29" s="5" t="s">
        <v>311</v>
      </c>
      <c r="H29" s="5" t="s">
        <v>312</v>
      </c>
      <c r="I29" s="5" t="s">
        <v>247</v>
      </c>
      <c r="J29" s="5" t="s">
        <v>248</v>
      </c>
      <c r="K29" s="5" t="s">
        <v>313</v>
      </c>
      <c r="L29" s="5" t="s">
        <v>250</v>
      </c>
      <c r="M29" s="5" t="s">
        <v>94</v>
      </c>
      <c r="N29" s="5" t="s">
        <v>116</v>
      </c>
      <c r="O29" s="5" t="s">
        <v>281</v>
      </c>
      <c r="P29" s="5" t="s">
        <v>252</v>
      </c>
      <c r="Q29" s="5" t="s">
        <v>68</v>
      </c>
      <c r="R29" s="5" t="s">
        <v>253</v>
      </c>
      <c r="S29" s="5" t="s">
        <v>254</v>
      </c>
      <c r="T29" s="5" t="s">
        <v>71</v>
      </c>
      <c r="U29" s="5" t="s">
        <v>255</v>
      </c>
      <c r="V29" s="5" t="s">
        <v>256</v>
      </c>
      <c r="W29" s="5" t="s">
        <v>74</v>
      </c>
      <c r="X29" s="5" t="s">
        <v>257</v>
      </c>
      <c r="Y29" s="5" t="s">
        <v>258</v>
      </c>
      <c r="Z29" s="5" t="s">
        <v>198</v>
      </c>
      <c r="AA29" s="5" t="s">
        <v>259</v>
      </c>
      <c r="AB29" s="5" t="s">
        <v>260</v>
      </c>
      <c r="AC29" s="5" t="s">
        <v>80</v>
      </c>
      <c r="AD29" s="5" t="s">
        <v>261</v>
      </c>
      <c r="AE29" s="5" t="s">
        <v>262</v>
      </c>
      <c r="AF29" s="5" t="s">
        <v>83</v>
      </c>
      <c r="AG29" s="5" t="s">
        <v>263</v>
      </c>
      <c r="AH29" s="5" t="s">
        <v>204</v>
      </c>
    </row>
    <row r="30" spans="1:34" ht="13.5" customHeight="1">
      <c r="A30" s="4" t="s">
        <v>314</v>
      </c>
      <c r="B30" s="4" t="s">
        <v>53</v>
      </c>
      <c r="C30" s="4" t="s">
        <v>54</v>
      </c>
      <c r="D30" s="4" t="s">
        <v>182</v>
      </c>
      <c r="E30" s="4" t="s">
        <v>244</v>
      </c>
      <c r="F30" s="4" t="s">
        <v>57</v>
      </c>
      <c r="G30" s="4" t="s">
        <v>315</v>
      </c>
      <c r="H30" s="4" t="s">
        <v>316</v>
      </c>
      <c r="I30" s="4" t="s">
        <v>247</v>
      </c>
      <c r="J30" s="4" t="s">
        <v>248</v>
      </c>
      <c r="K30" s="4" t="s">
        <v>317</v>
      </c>
      <c r="L30" s="4" t="s">
        <v>250</v>
      </c>
      <c r="M30" s="4" t="s">
        <v>94</v>
      </c>
      <c r="N30" s="4" t="s">
        <v>116</v>
      </c>
      <c r="O30" s="4" t="s">
        <v>281</v>
      </c>
      <c r="P30" s="4" t="s">
        <v>252</v>
      </c>
      <c r="Q30" s="4" t="s">
        <v>68</v>
      </c>
      <c r="R30" s="4" t="s">
        <v>253</v>
      </c>
      <c r="S30" s="4" t="s">
        <v>254</v>
      </c>
      <c r="T30" s="4" t="s">
        <v>71</v>
      </c>
      <c r="U30" s="4" t="s">
        <v>255</v>
      </c>
      <c r="V30" s="4" t="s">
        <v>256</v>
      </c>
      <c r="W30" s="4" t="s">
        <v>74</v>
      </c>
      <c r="X30" s="4" t="s">
        <v>257</v>
      </c>
      <c r="Y30" s="4" t="s">
        <v>258</v>
      </c>
      <c r="Z30" s="4" t="s">
        <v>198</v>
      </c>
      <c r="AA30" s="4" t="s">
        <v>259</v>
      </c>
      <c r="AB30" s="4" t="s">
        <v>260</v>
      </c>
      <c r="AC30" s="4" t="s">
        <v>80</v>
      </c>
      <c r="AD30" s="4" t="s">
        <v>261</v>
      </c>
      <c r="AE30" s="4" t="s">
        <v>262</v>
      </c>
      <c r="AF30" s="4" t="s">
        <v>83</v>
      </c>
      <c r="AG30" s="4" t="s">
        <v>263</v>
      </c>
      <c r="AH30" s="4" t="s">
        <v>204</v>
      </c>
    </row>
    <row r="31" spans="1:34" ht="13.5" customHeight="1">
      <c r="A31" s="5" t="s">
        <v>318</v>
      </c>
      <c r="B31" s="5" t="s">
        <v>53</v>
      </c>
      <c r="C31" s="5" t="s">
        <v>54</v>
      </c>
      <c r="D31" s="5" t="s">
        <v>182</v>
      </c>
      <c r="E31" s="5" t="s">
        <v>244</v>
      </c>
      <c r="F31" s="5" t="s">
        <v>57</v>
      </c>
      <c r="G31" s="5" t="s">
        <v>319</v>
      </c>
      <c r="H31" s="5" t="s">
        <v>320</v>
      </c>
      <c r="I31" s="5" t="s">
        <v>247</v>
      </c>
      <c r="J31" s="5" t="s">
        <v>248</v>
      </c>
      <c r="K31" s="5" t="s">
        <v>321</v>
      </c>
      <c r="L31" s="5" t="s">
        <v>250</v>
      </c>
      <c r="M31" s="5" t="s">
        <v>94</v>
      </c>
      <c r="N31" s="5" t="s">
        <v>116</v>
      </c>
      <c r="O31" s="5" t="s">
        <v>281</v>
      </c>
      <c r="P31" s="5" t="s">
        <v>252</v>
      </c>
      <c r="Q31" s="5" t="s">
        <v>68</v>
      </c>
      <c r="R31" s="5" t="s">
        <v>253</v>
      </c>
      <c r="S31" s="5" t="s">
        <v>254</v>
      </c>
      <c r="T31" s="5" t="s">
        <v>71</v>
      </c>
      <c r="U31" s="5" t="s">
        <v>255</v>
      </c>
      <c r="V31" s="5" t="s">
        <v>256</v>
      </c>
      <c r="W31" s="5" t="s">
        <v>74</v>
      </c>
      <c r="X31" s="5" t="s">
        <v>257</v>
      </c>
      <c r="Y31" s="5" t="s">
        <v>258</v>
      </c>
      <c r="Z31" s="5" t="s">
        <v>198</v>
      </c>
      <c r="AA31" s="5" t="s">
        <v>259</v>
      </c>
      <c r="AB31" s="5" t="s">
        <v>260</v>
      </c>
      <c r="AC31" s="5" t="s">
        <v>80</v>
      </c>
      <c r="AD31" s="5" t="s">
        <v>261</v>
      </c>
      <c r="AE31" s="5" t="s">
        <v>262</v>
      </c>
      <c r="AF31" s="5" t="s">
        <v>83</v>
      </c>
      <c r="AG31" s="5" t="s">
        <v>263</v>
      </c>
      <c r="AH31" s="5" t="s">
        <v>204</v>
      </c>
    </row>
    <row r="32" spans="1:34" ht="13.5" customHeight="1">
      <c r="A32" s="4" t="s">
        <v>322</v>
      </c>
      <c r="B32" s="4" t="s">
        <v>53</v>
      </c>
      <c r="C32" s="4" t="s">
        <v>54</v>
      </c>
      <c r="D32" s="4" t="s">
        <v>182</v>
      </c>
      <c r="E32" s="4" t="s">
        <v>323</v>
      </c>
      <c r="F32" s="4" t="s">
        <v>57</v>
      </c>
      <c r="G32" s="4" t="s">
        <v>324</v>
      </c>
      <c r="H32" s="4" t="s">
        <v>325</v>
      </c>
      <c r="I32" s="4" t="s">
        <v>326</v>
      </c>
      <c r="J32" s="4" t="s">
        <v>327</v>
      </c>
      <c r="K32" s="4" t="s">
        <v>328</v>
      </c>
      <c r="L32" s="4" t="s">
        <v>329</v>
      </c>
      <c r="M32" s="4" t="s">
        <v>94</v>
      </c>
      <c r="N32" s="4" t="s">
        <v>116</v>
      </c>
      <c r="O32" s="4" t="s">
        <v>330</v>
      </c>
      <c r="P32" s="4" t="s">
        <v>331</v>
      </c>
      <c r="Q32" s="4" t="s">
        <v>68</v>
      </c>
      <c r="R32" s="4" t="s">
        <v>332</v>
      </c>
      <c r="S32" s="4" t="s">
        <v>333</v>
      </c>
      <c r="T32" s="4" t="s">
        <v>170</v>
      </c>
      <c r="U32" s="4" t="s">
        <v>334</v>
      </c>
      <c r="V32" s="4" t="s">
        <v>335</v>
      </c>
      <c r="W32" s="4" t="s">
        <v>74</v>
      </c>
      <c r="X32" s="4" t="s">
        <v>336</v>
      </c>
      <c r="Y32" s="4" t="s">
        <v>337</v>
      </c>
      <c r="Z32" s="4" t="s">
        <v>198</v>
      </c>
      <c r="AA32" s="4" t="s">
        <v>338</v>
      </c>
      <c r="AB32" s="4" t="s">
        <v>339</v>
      </c>
      <c r="AC32" s="4" t="s">
        <v>177</v>
      </c>
      <c r="AD32" s="4" t="s">
        <v>340</v>
      </c>
      <c r="AE32" s="4" t="s">
        <v>341</v>
      </c>
      <c r="AF32" s="4" t="s">
        <v>83</v>
      </c>
      <c r="AG32" s="4" t="s">
        <v>342</v>
      </c>
      <c r="AH32" s="4" t="s">
        <v>204</v>
      </c>
    </row>
    <row r="33" spans="1:34" ht="13.5" customHeight="1">
      <c r="A33" s="5" t="s">
        <v>343</v>
      </c>
      <c r="B33" s="5" t="s">
        <v>53</v>
      </c>
      <c r="C33" s="5" t="s">
        <v>54</v>
      </c>
      <c r="D33" s="5" t="s">
        <v>182</v>
      </c>
      <c r="E33" s="5" t="s">
        <v>323</v>
      </c>
      <c r="F33" s="5" t="s">
        <v>57</v>
      </c>
      <c r="G33" s="5" t="s">
        <v>344</v>
      </c>
      <c r="H33" s="5" t="s">
        <v>345</v>
      </c>
      <c r="I33" s="5" t="s">
        <v>326</v>
      </c>
      <c r="J33" s="5" t="s">
        <v>327</v>
      </c>
      <c r="K33" s="5" t="s">
        <v>346</v>
      </c>
      <c r="L33" s="5" t="s">
        <v>329</v>
      </c>
      <c r="M33" s="5" t="s">
        <v>94</v>
      </c>
      <c r="N33" s="5" t="s">
        <v>116</v>
      </c>
      <c r="O33" s="5" t="s">
        <v>330</v>
      </c>
      <c r="P33" s="5" t="s">
        <v>331</v>
      </c>
      <c r="Q33" s="5" t="s">
        <v>68</v>
      </c>
      <c r="R33" s="5" t="s">
        <v>332</v>
      </c>
      <c r="S33" s="5" t="s">
        <v>333</v>
      </c>
      <c r="T33" s="5" t="s">
        <v>170</v>
      </c>
      <c r="U33" s="5" t="s">
        <v>334</v>
      </c>
      <c r="V33" s="5" t="s">
        <v>335</v>
      </c>
      <c r="W33" s="5" t="s">
        <v>74</v>
      </c>
      <c r="X33" s="5" t="s">
        <v>336</v>
      </c>
      <c r="Y33" s="5" t="s">
        <v>337</v>
      </c>
      <c r="Z33" s="5" t="s">
        <v>198</v>
      </c>
      <c r="AA33" s="5" t="s">
        <v>338</v>
      </c>
      <c r="AB33" s="5" t="s">
        <v>339</v>
      </c>
      <c r="AC33" s="5" t="s">
        <v>177</v>
      </c>
      <c r="AD33" s="5" t="s">
        <v>340</v>
      </c>
      <c r="AE33" s="5" t="s">
        <v>341</v>
      </c>
      <c r="AF33" s="5" t="s">
        <v>83</v>
      </c>
      <c r="AG33" s="5" t="s">
        <v>342</v>
      </c>
      <c r="AH33" s="5" t="s">
        <v>204</v>
      </c>
    </row>
    <row r="34" spans="1:34" ht="13.5" customHeight="1">
      <c r="A34" s="4" t="s">
        <v>347</v>
      </c>
      <c r="B34" s="4" t="s">
        <v>53</v>
      </c>
      <c r="C34" s="4" t="s">
        <v>54</v>
      </c>
      <c r="D34" s="4" t="s">
        <v>182</v>
      </c>
      <c r="E34" s="4" t="s">
        <v>323</v>
      </c>
      <c r="F34" s="4" t="s">
        <v>57</v>
      </c>
      <c r="G34" s="4" t="s">
        <v>348</v>
      </c>
      <c r="H34" s="4" t="s">
        <v>349</v>
      </c>
      <c r="I34" s="4" t="s">
        <v>326</v>
      </c>
      <c r="J34" s="4" t="s">
        <v>327</v>
      </c>
      <c r="K34" s="4" t="s">
        <v>350</v>
      </c>
      <c r="L34" s="4" t="s">
        <v>329</v>
      </c>
      <c r="M34" s="4" t="s">
        <v>94</v>
      </c>
      <c r="N34" s="4" t="s">
        <v>116</v>
      </c>
      <c r="O34" s="4" t="s">
        <v>330</v>
      </c>
      <c r="P34" s="4" t="s">
        <v>331</v>
      </c>
      <c r="Q34" s="4" t="s">
        <v>68</v>
      </c>
      <c r="R34" s="4" t="s">
        <v>332</v>
      </c>
      <c r="S34" s="4" t="s">
        <v>333</v>
      </c>
      <c r="T34" s="4" t="s">
        <v>170</v>
      </c>
      <c r="U34" s="4" t="s">
        <v>334</v>
      </c>
      <c r="V34" s="4" t="s">
        <v>335</v>
      </c>
      <c r="W34" s="4" t="s">
        <v>74</v>
      </c>
      <c r="X34" s="4" t="s">
        <v>336</v>
      </c>
      <c r="Y34" s="4" t="s">
        <v>337</v>
      </c>
      <c r="Z34" s="4" t="s">
        <v>198</v>
      </c>
      <c r="AA34" s="4" t="s">
        <v>338</v>
      </c>
      <c r="AB34" s="4" t="s">
        <v>339</v>
      </c>
      <c r="AC34" s="4" t="s">
        <v>177</v>
      </c>
      <c r="AD34" s="4" t="s">
        <v>340</v>
      </c>
      <c r="AE34" s="4" t="s">
        <v>341</v>
      </c>
      <c r="AF34" s="4" t="s">
        <v>83</v>
      </c>
      <c r="AG34" s="4" t="s">
        <v>342</v>
      </c>
      <c r="AH34" s="4" t="s">
        <v>204</v>
      </c>
    </row>
    <row r="35" spans="1:34" ht="13.5" customHeight="1">
      <c r="A35" s="5" t="s">
        <v>351</v>
      </c>
      <c r="B35" s="5" t="s">
        <v>53</v>
      </c>
      <c r="C35" s="5" t="s">
        <v>54</v>
      </c>
      <c r="D35" s="5" t="s">
        <v>182</v>
      </c>
      <c r="E35" s="5" t="s">
        <v>323</v>
      </c>
      <c r="F35" s="5" t="s">
        <v>57</v>
      </c>
      <c r="G35" s="5" t="s">
        <v>352</v>
      </c>
      <c r="H35" s="5" t="s">
        <v>353</v>
      </c>
      <c r="I35" s="5" t="s">
        <v>326</v>
      </c>
      <c r="J35" s="5" t="s">
        <v>327</v>
      </c>
      <c r="K35" s="5" t="s">
        <v>354</v>
      </c>
      <c r="L35" s="5" t="s">
        <v>329</v>
      </c>
      <c r="M35" s="5" t="s">
        <v>94</v>
      </c>
      <c r="N35" s="5" t="s">
        <v>116</v>
      </c>
      <c r="O35" s="5" t="s">
        <v>330</v>
      </c>
      <c r="P35" s="5" t="s">
        <v>331</v>
      </c>
      <c r="Q35" s="5" t="s">
        <v>68</v>
      </c>
      <c r="R35" s="5" t="s">
        <v>332</v>
      </c>
      <c r="S35" s="5" t="s">
        <v>333</v>
      </c>
      <c r="T35" s="5" t="s">
        <v>170</v>
      </c>
      <c r="U35" s="5" t="s">
        <v>334</v>
      </c>
      <c r="V35" s="5" t="s">
        <v>335</v>
      </c>
      <c r="W35" s="5" t="s">
        <v>74</v>
      </c>
      <c r="X35" s="5" t="s">
        <v>336</v>
      </c>
      <c r="Y35" s="5" t="s">
        <v>337</v>
      </c>
      <c r="Z35" s="5" t="s">
        <v>198</v>
      </c>
      <c r="AA35" s="5" t="s">
        <v>338</v>
      </c>
      <c r="AB35" s="5" t="s">
        <v>339</v>
      </c>
      <c r="AC35" s="5" t="s">
        <v>177</v>
      </c>
      <c r="AD35" s="5" t="s">
        <v>340</v>
      </c>
      <c r="AE35" s="5" t="s">
        <v>341</v>
      </c>
      <c r="AF35" s="5" t="s">
        <v>83</v>
      </c>
      <c r="AG35" s="5" t="s">
        <v>342</v>
      </c>
      <c r="AH35" s="5" t="s">
        <v>204</v>
      </c>
    </row>
    <row r="36" spans="1:34" ht="13.5" customHeight="1">
      <c r="A36" s="4" t="s">
        <v>355</v>
      </c>
      <c r="B36" s="4" t="s">
        <v>53</v>
      </c>
      <c r="C36" s="4" t="s">
        <v>54</v>
      </c>
      <c r="D36" s="4" t="s">
        <v>356</v>
      </c>
      <c r="E36" s="4" t="s">
        <v>357</v>
      </c>
      <c r="F36" s="4" t="s">
        <v>358</v>
      </c>
      <c r="G36" s="4" t="s">
        <v>359</v>
      </c>
      <c r="H36" s="4" t="s">
        <v>360</v>
      </c>
      <c r="I36" s="4" t="s">
        <v>361</v>
      </c>
      <c r="J36" s="4" t="s">
        <v>362</v>
      </c>
      <c r="K36" s="4" t="s">
        <v>363</v>
      </c>
      <c r="L36" s="4" t="s">
        <v>364</v>
      </c>
      <c r="M36" s="4" t="s">
        <v>64</v>
      </c>
      <c r="N36" s="4" t="s">
        <v>116</v>
      </c>
      <c r="O36" s="4" t="s">
        <v>365</v>
      </c>
      <c r="P36" s="4" t="s">
        <v>366</v>
      </c>
      <c r="Q36" s="4"/>
      <c r="R36" s="4" t="s">
        <v>367</v>
      </c>
      <c r="S36" s="4" t="s">
        <v>366</v>
      </c>
      <c r="T36" s="4"/>
      <c r="U36" s="4" t="s">
        <v>367</v>
      </c>
      <c r="V36" s="4" t="s">
        <v>366</v>
      </c>
      <c r="W36" s="4"/>
      <c r="X36" s="4" t="s">
        <v>367</v>
      </c>
      <c r="Y36" s="4" t="s">
        <v>366</v>
      </c>
      <c r="Z36" s="4"/>
      <c r="AA36" s="4" t="s">
        <v>367</v>
      </c>
      <c r="AB36" s="4" t="s">
        <v>366</v>
      </c>
      <c r="AC36" s="4"/>
      <c r="AD36" s="4" t="s">
        <v>367</v>
      </c>
      <c r="AE36" s="4" t="s">
        <v>366</v>
      </c>
      <c r="AF36" s="4"/>
      <c r="AG36" s="4" t="s">
        <v>367</v>
      </c>
      <c r="AH36" s="4" t="s">
        <v>368</v>
      </c>
    </row>
    <row r="37" spans="1:34" ht="13.5" customHeight="1">
      <c r="A37" s="5" t="s">
        <v>369</v>
      </c>
      <c r="B37" s="5" t="s">
        <v>53</v>
      </c>
      <c r="C37" s="5" t="s">
        <v>54</v>
      </c>
      <c r="D37" s="5" t="s">
        <v>356</v>
      </c>
      <c r="E37" s="5" t="s">
        <v>370</v>
      </c>
      <c r="F37" s="5" t="s">
        <v>358</v>
      </c>
      <c r="G37" s="5" t="s">
        <v>371</v>
      </c>
      <c r="H37" s="5" t="s">
        <v>372</v>
      </c>
      <c r="I37" s="5" t="s">
        <v>373</v>
      </c>
      <c r="J37" s="5" t="s">
        <v>374</v>
      </c>
      <c r="K37" s="5" t="s">
        <v>375</v>
      </c>
      <c r="L37" s="5" t="s">
        <v>376</v>
      </c>
      <c r="M37" s="5" t="s">
        <v>377</v>
      </c>
      <c r="N37" s="5" t="s">
        <v>116</v>
      </c>
      <c r="O37" s="5" t="s">
        <v>378</v>
      </c>
      <c r="P37" s="5" t="s">
        <v>366</v>
      </c>
      <c r="Q37" s="5"/>
      <c r="R37" s="5" t="s">
        <v>367</v>
      </c>
      <c r="S37" s="5" t="s">
        <v>366</v>
      </c>
      <c r="T37" s="5"/>
      <c r="U37" s="5" t="s">
        <v>367</v>
      </c>
      <c r="V37" s="5" t="s">
        <v>366</v>
      </c>
      <c r="W37" s="5"/>
      <c r="X37" s="5" t="s">
        <v>367</v>
      </c>
      <c r="Y37" s="5" t="s">
        <v>366</v>
      </c>
      <c r="Z37" s="5"/>
      <c r="AA37" s="5" t="s">
        <v>367</v>
      </c>
      <c r="AB37" s="5" t="s">
        <v>366</v>
      </c>
      <c r="AC37" s="5"/>
      <c r="AD37" s="5" t="s">
        <v>367</v>
      </c>
      <c r="AE37" s="5" t="s">
        <v>366</v>
      </c>
      <c r="AF37" s="5"/>
      <c r="AG37" s="5" t="s">
        <v>367</v>
      </c>
      <c r="AH37" s="5" t="s">
        <v>368</v>
      </c>
    </row>
    <row r="38" spans="1:34" ht="13.5" customHeight="1">
      <c r="A38" s="4" t="s">
        <v>379</v>
      </c>
      <c r="B38" s="4" t="s">
        <v>53</v>
      </c>
      <c r="C38" s="4" t="s">
        <v>54</v>
      </c>
      <c r="D38" s="4" t="s">
        <v>356</v>
      </c>
      <c r="E38" s="4" t="s">
        <v>370</v>
      </c>
      <c r="F38" s="4" t="s">
        <v>358</v>
      </c>
      <c r="G38" s="4" t="s">
        <v>380</v>
      </c>
      <c r="H38" s="4" t="s">
        <v>381</v>
      </c>
      <c r="I38" s="4" t="s">
        <v>373</v>
      </c>
      <c r="J38" s="4" t="s">
        <v>374</v>
      </c>
      <c r="K38" s="4" t="s">
        <v>382</v>
      </c>
      <c r="L38" s="4" t="s">
        <v>376</v>
      </c>
      <c r="M38" s="4" t="s">
        <v>377</v>
      </c>
      <c r="N38" s="4" t="s">
        <v>116</v>
      </c>
      <c r="O38" s="4" t="s">
        <v>378</v>
      </c>
      <c r="P38" s="4" t="s">
        <v>366</v>
      </c>
      <c r="Q38" s="4"/>
      <c r="R38" s="4" t="s">
        <v>367</v>
      </c>
      <c r="S38" s="4" t="s">
        <v>366</v>
      </c>
      <c r="T38" s="4"/>
      <c r="U38" s="4" t="s">
        <v>367</v>
      </c>
      <c r="V38" s="4" t="s">
        <v>366</v>
      </c>
      <c r="W38" s="4"/>
      <c r="X38" s="4" t="s">
        <v>367</v>
      </c>
      <c r="Y38" s="4" t="s">
        <v>366</v>
      </c>
      <c r="Z38" s="4"/>
      <c r="AA38" s="4" t="s">
        <v>367</v>
      </c>
      <c r="AB38" s="4" t="s">
        <v>366</v>
      </c>
      <c r="AC38" s="4"/>
      <c r="AD38" s="4" t="s">
        <v>367</v>
      </c>
      <c r="AE38" s="4" t="s">
        <v>366</v>
      </c>
      <c r="AF38" s="4"/>
      <c r="AG38" s="4" t="s">
        <v>367</v>
      </c>
      <c r="AH38" s="4" t="s">
        <v>368</v>
      </c>
    </row>
    <row r="39" spans="1:34" ht="13.5" customHeight="1">
      <c r="A39" s="5" t="s">
        <v>383</v>
      </c>
      <c r="B39" s="5" t="s">
        <v>53</v>
      </c>
      <c r="C39" s="5" t="s">
        <v>54</v>
      </c>
      <c r="D39" s="5" t="s">
        <v>356</v>
      </c>
      <c r="E39" s="5" t="s">
        <v>370</v>
      </c>
      <c r="F39" s="5" t="s">
        <v>358</v>
      </c>
      <c r="G39" s="5" t="s">
        <v>384</v>
      </c>
      <c r="H39" s="5" t="s">
        <v>385</v>
      </c>
      <c r="I39" s="5" t="s">
        <v>373</v>
      </c>
      <c r="J39" s="5" t="s">
        <v>374</v>
      </c>
      <c r="K39" s="5" t="s">
        <v>386</v>
      </c>
      <c r="L39" s="5" t="s">
        <v>376</v>
      </c>
      <c r="M39" s="5" t="s">
        <v>377</v>
      </c>
      <c r="N39" s="5" t="s">
        <v>65</v>
      </c>
      <c r="O39" s="5" t="s">
        <v>378</v>
      </c>
      <c r="P39" s="5" t="s">
        <v>366</v>
      </c>
      <c r="Q39" s="5"/>
      <c r="R39" s="5" t="s">
        <v>367</v>
      </c>
      <c r="S39" s="5" t="s">
        <v>366</v>
      </c>
      <c r="T39" s="5"/>
      <c r="U39" s="5" t="s">
        <v>367</v>
      </c>
      <c r="V39" s="5" t="s">
        <v>366</v>
      </c>
      <c r="W39" s="5"/>
      <c r="X39" s="5" t="s">
        <v>367</v>
      </c>
      <c r="Y39" s="5" t="s">
        <v>366</v>
      </c>
      <c r="Z39" s="5"/>
      <c r="AA39" s="5" t="s">
        <v>367</v>
      </c>
      <c r="AB39" s="5" t="s">
        <v>366</v>
      </c>
      <c r="AC39" s="5"/>
      <c r="AD39" s="5" t="s">
        <v>367</v>
      </c>
      <c r="AE39" s="5" t="s">
        <v>366</v>
      </c>
      <c r="AF39" s="5"/>
      <c r="AG39" s="5" t="s">
        <v>367</v>
      </c>
      <c r="AH39" s="5" t="s">
        <v>368</v>
      </c>
    </row>
    <row r="40" spans="1:34" ht="13.5" customHeight="1">
      <c r="A40" s="4" t="s">
        <v>387</v>
      </c>
      <c r="B40" s="4" t="s">
        <v>53</v>
      </c>
      <c r="C40" s="4" t="s">
        <v>54</v>
      </c>
      <c r="D40" s="4" t="s">
        <v>388</v>
      </c>
      <c r="E40" s="4" t="s">
        <v>389</v>
      </c>
      <c r="F40" s="4" t="s">
        <v>358</v>
      </c>
      <c r="G40" s="4" t="s">
        <v>390</v>
      </c>
      <c r="H40" s="4" t="s">
        <v>391</v>
      </c>
      <c r="I40" s="4" t="s">
        <v>392</v>
      </c>
      <c r="J40" s="4" t="s">
        <v>393</v>
      </c>
      <c r="K40" s="4" t="s">
        <v>394</v>
      </c>
      <c r="L40" s="4" t="s">
        <v>395</v>
      </c>
      <c r="M40" s="4" t="s">
        <v>94</v>
      </c>
      <c r="N40" s="4" t="s">
        <v>396</v>
      </c>
      <c r="O40" s="4" t="s">
        <v>397</v>
      </c>
      <c r="P40" s="4" t="s">
        <v>366</v>
      </c>
      <c r="Q40" s="4"/>
      <c r="R40" s="4" t="s">
        <v>367</v>
      </c>
      <c r="S40" s="4" t="s">
        <v>366</v>
      </c>
      <c r="T40" s="4"/>
      <c r="U40" s="4" t="s">
        <v>367</v>
      </c>
      <c r="V40" s="4" t="s">
        <v>366</v>
      </c>
      <c r="W40" s="4"/>
      <c r="X40" s="4" t="s">
        <v>367</v>
      </c>
      <c r="Y40" s="4" t="s">
        <v>366</v>
      </c>
      <c r="Z40" s="4"/>
      <c r="AA40" s="4" t="s">
        <v>367</v>
      </c>
      <c r="AB40" s="4" t="s">
        <v>366</v>
      </c>
      <c r="AC40" s="4"/>
      <c r="AD40" s="4" t="s">
        <v>367</v>
      </c>
      <c r="AE40" s="4" t="s">
        <v>366</v>
      </c>
      <c r="AF40" s="4"/>
      <c r="AG40" s="4" t="s">
        <v>367</v>
      </c>
      <c r="AH40" s="4" t="s">
        <v>398</v>
      </c>
    </row>
    <row r="41" spans="1:34" ht="13.5" customHeight="1">
      <c r="A41" s="5" t="s">
        <v>399</v>
      </c>
      <c r="B41" s="5" t="s">
        <v>53</v>
      </c>
      <c r="C41" s="5" t="s">
        <v>54</v>
      </c>
      <c r="D41" s="5" t="s">
        <v>388</v>
      </c>
      <c r="E41" s="5" t="s">
        <v>389</v>
      </c>
      <c r="F41" s="5" t="s">
        <v>358</v>
      </c>
      <c r="G41" s="5" t="s">
        <v>400</v>
      </c>
      <c r="H41" s="5" t="s">
        <v>401</v>
      </c>
      <c r="I41" s="5" t="s">
        <v>392</v>
      </c>
      <c r="J41" s="5" t="s">
        <v>393</v>
      </c>
      <c r="K41" s="5" t="s">
        <v>402</v>
      </c>
      <c r="L41" s="5" t="s">
        <v>395</v>
      </c>
      <c r="M41" s="5" t="s">
        <v>94</v>
      </c>
      <c r="N41" s="5" t="s">
        <v>116</v>
      </c>
      <c r="O41" s="5" t="s">
        <v>397</v>
      </c>
      <c r="P41" s="5" t="s">
        <v>366</v>
      </c>
      <c r="Q41" s="5"/>
      <c r="R41" s="5" t="s">
        <v>367</v>
      </c>
      <c r="S41" s="5" t="s">
        <v>366</v>
      </c>
      <c r="T41" s="5"/>
      <c r="U41" s="5" t="s">
        <v>367</v>
      </c>
      <c r="V41" s="5" t="s">
        <v>366</v>
      </c>
      <c r="W41" s="5"/>
      <c r="X41" s="5" t="s">
        <v>367</v>
      </c>
      <c r="Y41" s="5" t="s">
        <v>366</v>
      </c>
      <c r="Z41" s="5"/>
      <c r="AA41" s="5" t="s">
        <v>367</v>
      </c>
      <c r="AB41" s="5" t="s">
        <v>366</v>
      </c>
      <c r="AC41" s="5"/>
      <c r="AD41" s="5" t="s">
        <v>367</v>
      </c>
      <c r="AE41" s="5" t="s">
        <v>366</v>
      </c>
      <c r="AF41" s="5"/>
      <c r="AG41" s="5" t="s">
        <v>367</v>
      </c>
      <c r="AH41" s="5" t="s">
        <v>398</v>
      </c>
    </row>
    <row r="42" spans="1:34" ht="13.5" customHeight="1">
      <c r="A42" s="4" t="s">
        <v>403</v>
      </c>
      <c r="B42" s="4" t="s">
        <v>53</v>
      </c>
      <c r="C42" s="4" t="s">
        <v>54</v>
      </c>
      <c r="D42" s="4" t="s">
        <v>388</v>
      </c>
      <c r="E42" s="4" t="s">
        <v>404</v>
      </c>
      <c r="F42" s="4" t="s">
        <v>358</v>
      </c>
      <c r="G42" s="4" t="s">
        <v>405</v>
      </c>
      <c r="H42" s="4" t="s">
        <v>406</v>
      </c>
      <c r="I42" s="4" t="s">
        <v>407</v>
      </c>
      <c r="J42" s="4" t="s">
        <v>408</v>
      </c>
      <c r="K42" s="4" t="s">
        <v>409</v>
      </c>
      <c r="L42" s="4" t="s">
        <v>410</v>
      </c>
      <c r="M42" s="4" t="s">
        <v>94</v>
      </c>
      <c r="N42" s="4" t="s">
        <v>116</v>
      </c>
      <c r="O42" s="4" t="s">
        <v>411</v>
      </c>
      <c r="P42" s="4" t="s">
        <v>366</v>
      </c>
      <c r="Q42" s="4"/>
      <c r="R42" s="4" t="s">
        <v>367</v>
      </c>
      <c r="S42" s="4" t="s">
        <v>366</v>
      </c>
      <c r="T42" s="4"/>
      <c r="U42" s="4" t="s">
        <v>367</v>
      </c>
      <c r="V42" s="4" t="s">
        <v>366</v>
      </c>
      <c r="W42" s="4"/>
      <c r="X42" s="4" t="s">
        <v>367</v>
      </c>
      <c r="Y42" s="4" t="s">
        <v>366</v>
      </c>
      <c r="Z42" s="4"/>
      <c r="AA42" s="4" t="s">
        <v>367</v>
      </c>
      <c r="AB42" s="4" t="s">
        <v>366</v>
      </c>
      <c r="AC42" s="4"/>
      <c r="AD42" s="4" t="s">
        <v>367</v>
      </c>
      <c r="AE42" s="4" t="s">
        <v>366</v>
      </c>
      <c r="AF42" s="4"/>
      <c r="AG42" s="4" t="s">
        <v>367</v>
      </c>
      <c r="AH42" s="4" t="s">
        <v>398</v>
      </c>
    </row>
    <row r="43" spans="1:34" ht="13.5" customHeight="1">
      <c r="A43" s="5" t="s">
        <v>412</v>
      </c>
      <c r="B43" s="5" t="s">
        <v>53</v>
      </c>
      <c r="C43" s="5" t="s">
        <v>54</v>
      </c>
      <c r="D43" s="5" t="s">
        <v>388</v>
      </c>
      <c r="E43" s="5" t="s">
        <v>404</v>
      </c>
      <c r="F43" s="5" t="s">
        <v>358</v>
      </c>
      <c r="G43" s="5" t="s">
        <v>413</v>
      </c>
      <c r="H43" s="5" t="s">
        <v>414</v>
      </c>
      <c r="I43" s="5" t="s">
        <v>407</v>
      </c>
      <c r="J43" s="5" t="s">
        <v>408</v>
      </c>
      <c r="K43" s="5" t="s">
        <v>415</v>
      </c>
      <c r="L43" s="5" t="s">
        <v>410</v>
      </c>
      <c r="M43" s="5" t="s">
        <v>94</v>
      </c>
      <c r="N43" s="5" t="s">
        <v>116</v>
      </c>
      <c r="O43" s="5" t="s">
        <v>411</v>
      </c>
      <c r="P43" s="5" t="s">
        <v>366</v>
      </c>
      <c r="Q43" s="5"/>
      <c r="R43" s="5" t="s">
        <v>367</v>
      </c>
      <c r="S43" s="5" t="s">
        <v>366</v>
      </c>
      <c r="T43" s="5"/>
      <c r="U43" s="5" t="s">
        <v>367</v>
      </c>
      <c r="V43" s="5" t="s">
        <v>366</v>
      </c>
      <c r="W43" s="5"/>
      <c r="X43" s="5" t="s">
        <v>367</v>
      </c>
      <c r="Y43" s="5" t="s">
        <v>366</v>
      </c>
      <c r="Z43" s="5"/>
      <c r="AA43" s="5" t="s">
        <v>367</v>
      </c>
      <c r="AB43" s="5" t="s">
        <v>366</v>
      </c>
      <c r="AC43" s="5"/>
      <c r="AD43" s="5" t="s">
        <v>367</v>
      </c>
      <c r="AE43" s="5" t="s">
        <v>366</v>
      </c>
      <c r="AF43" s="5"/>
      <c r="AG43" s="5" t="s">
        <v>367</v>
      </c>
      <c r="AH43" s="5" t="s">
        <v>398</v>
      </c>
    </row>
    <row r="44" spans="1:34" ht="13.5" customHeight="1">
      <c r="A44" s="4" t="s">
        <v>416</v>
      </c>
      <c r="B44" s="4" t="s">
        <v>53</v>
      </c>
      <c r="C44" s="4" t="s">
        <v>54</v>
      </c>
      <c r="D44" s="4" t="s">
        <v>388</v>
      </c>
      <c r="E44" s="4" t="s">
        <v>404</v>
      </c>
      <c r="F44" s="4" t="s">
        <v>358</v>
      </c>
      <c r="G44" s="4" t="s">
        <v>417</v>
      </c>
      <c r="H44" s="4" t="s">
        <v>418</v>
      </c>
      <c r="I44" s="4" t="s">
        <v>407</v>
      </c>
      <c r="J44" s="4" t="s">
        <v>419</v>
      </c>
      <c r="K44" s="4" t="s">
        <v>420</v>
      </c>
      <c r="L44" s="4" t="s">
        <v>410</v>
      </c>
      <c r="M44" s="4" t="s">
        <v>94</v>
      </c>
      <c r="N44" s="4" t="s">
        <v>116</v>
      </c>
      <c r="O44" s="4" t="s">
        <v>411</v>
      </c>
      <c r="P44" s="4" t="s">
        <v>366</v>
      </c>
      <c r="Q44" s="4"/>
      <c r="R44" s="4" t="s">
        <v>367</v>
      </c>
      <c r="S44" s="4" t="s">
        <v>366</v>
      </c>
      <c r="T44" s="4"/>
      <c r="U44" s="4" t="s">
        <v>367</v>
      </c>
      <c r="V44" s="4" t="s">
        <v>366</v>
      </c>
      <c r="W44" s="4"/>
      <c r="X44" s="4" t="s">
        <v>367</v>
      </c>
      <c r="Y44" s="4" t="s">
        <v>366</v>
      </c>
      <c r="Z44" s="4"/>
      <c r="AA44" s="4" t="s">
        <v>367</v>
      </c>
      <c r="AB44" s="4" t="s">
        <v>366</v>
      </c>
      <c r="AC44" s="4"/>
      <c r="AD44" s="4" t="s">
        <v>367</v>
      </c>
      <c r="AE44" s="4" t="s">
        <v>366</v>
      </c>
      <c r="AF44" s="4"/>
      <c r="AG44" s="4" t="s">
        <v>367</v>
      </c>
      <c r="AH44" s="4" t="s">
        <v>398</v>
      </c>
    </row>
    <row r="45" spans="1:34" ht="13.5" customHeight="1">
      <c r="A45" s="5" t="s">
        <v>421</v>
      </c>
      <c r="B45" s="5" t="s">
        <v>53</v>
      </c>
      <c r="C45" s="5" t="s">
        <v>54</v>
      </c>
      <c r="D45" s="5" t="s">
        <v>388</v>
      </c>
      <c r="E45" s="5" t="s">
        <v>422</v>
      </c>
      <c r="F45" s="5" t="s">
        <v>358</v>
      </c>
      <c r="G45" s="5" t="s">
        <v>423</v>
      </c>
      <c r="H45" s="5" t="s">
        <v>424</v>
      </c>
      <c r="I45" s="5" t="s">
        <v>425</v>
      </c>
      <c r="J45" s="5" t="s">
        <v>426</v>
      </c>
      <c r="K45" s="5" t="s">
        <v>427</v>
      </c>
      <c r="L45" s="5" t="s">
        <v>428</v>
      </c>
      <c r="M45" s="5" t="s">
        <v>94</v>
      </c>
      <c r="N45" s="5" t="s">
        <v>116</v>
      </c>
      <c r="O45" s="5" t="s">
        <v>429</v>
      </c>
      <c r="P45" s="5" t="s">
        <v>366</v>
      </c>
      <c r="Q45" s="5"/>
      <c r="R45" s="5" t="s">
        <v>367</v>
      </c>
      <c r="S45" s="5" t="s">
        <v>366</v>
      </c>
      <c r="T45" s="5"/>
      <c r="U45" s="5" t="s">
        <v>367</v>
      </c>
      <c r="V45" s="5" t="s">
        <v>366</v>
      </c>
      <c r="W45" s="5"/>
      <c r="X45" s="5" t="s">
        <v>367</v>
      </c>
      <c r="Y45" s="5" t="s">
        <v>366</v>
      </c>
      <c r="Z45" s="5"/>
      <c r="AA45" s="5" t="s">
        <v>367</v>
      </c>
      <c r="AB45" s="5" t="s">
        <v>366</v>
      </c>
      <c r="AC45" s="5"/>
      <c r="AD45" s="5" t="s">
        <v>367</v>
      </c>
      <c r="AE45" s="5" t="s">
        <v>366</v>
      </c>
      <c r="AF45" s="5"/>
      <c r="AG45" s="5" t="s">
        <v>367</v>
      </c>
      <c r="AH45" s="5" t="s">
        <v>398</v>
      </c>
    </row>
    <row r="46" spans="1:34" ht="13.5" customHeight="1">
      <c r="A46" s="4" t="s">
        <v>430</v>
      </c>
      <c r="B46" s="4" t="s">
        <v>53</v>
      </c>
      <c r="C46" s="4" t="s">
        <v>54</v>
      </c>
      <c r="D46" s="4" t="s">
        <v>388</v>
      </c>
      <c r="E46" s="4" t="s">
        <v>422</v>
      </c>
      <c r="F46" s="4" t="s">
        <v>358</v>
      </c>
      <c r="G46" s="4" t="s">
        <v>431</v>
      </c>
      <c r="H46" s="4" t="s">
        <v>432</v>
      </c>
      <c r="I46" s="4" t="s">
        <v>425</v>
      </c>
      <c r="J46" s="4" t="s">
        <v>426</v>
      </c>
      <c r="K46" s="4" t="s">
        <v>433</v>
      </c>
      <c r="L46" s="4" t="s">
        <v>428</v>
      </c>
      <c r="M46" s="4" t="s">
        <v>94</v>
      </c>
      <c r="N46" s="4" t="s">
        <v>116</v>
      </c>
      <c r="O46" s="4" t="s">
        <v>429</v>
      </c>
      <c r="P46" s="4" t="s">
        <v>366</v>
      </c>
      <c r="Q46" s="4"/>
      <c r="R46" s="4" t="s">
        <v>367</v>
      </c>
      <c r="S46" s="4" t="s">
        <v>366</v>
      </c>
      <c r="T46" s="4"/>
      <c r="U46" s="4" t="s">
        <v>367</v>
      </c>
      <c r="V46" s="4" t="s">
        <v>366</v>
      </c>
      <c r="W46" s="4"/>
      <c r="X46" s="4" t="s">
        <v>367</v>
      </c>
      <c r="Y46" s="4" t="s">
        <v>366</v>
      </c>
      <c r="Z46" s="4"/>
      <c r="AA46" s="4" t="s">
        <v>367</v>
      </c>
      <c r="AB46" s="4" t="s">
        <v>366</v>
      </c>
      <c r="AC46" s="4"/>
      <c r="AD46" s="4" t="s">
        <v>367</v>
      </c>
      <c r="AE46" s="4" t="s">
        <v>366</v>
      </c>
      <c r="AF46" s="4"/>
      <c r="AG46" s="4" t="s">
        <v>367</v>
      </c>
      <c r="AH46" s="4" t="s">
        <v>398</v>
      </c>
    </row>
    <row r="47" spans="1:34" ht="13.5" customHeight="1">
      <c r="A47" s="5" t="s">
        <v>434</v>
      </c>
      <c r="B47" s="5" t="s">
        <v>53</v>
      </c>
      <c r="C47" s="5" t="s">
        <v>54</v>
      </c>
      <c r="D47" s="5" t="s">
        <v>388</v>
      </c>
      <c r="E47" s="5" t="s">
        <v>422</v>
      </c>
      <c r="F47" s="5" t="s">
        <v>358</v>
      </c>
      <c r="G47" s="5" t="s">
        <v>435</v>
      </c>
      <c r="H47" s="5" t="s">
        <v>436</v>
      </c>
      <c r="I47" s="5"/>
      <c r="J47" s="5" t="s">
        <v>437</v>
      </c>
      <c r="K47" s="5" t="s">
        <v>438</v>
      </c>
      <c r="L47" s="5" t="s">
        <v>439</v>
      </c>
      <c r="M47" s="5" t="s">
        <v>94</v>
      </c>
      <c r="N47" s="5" t="s">
        <v>116</v>
      </c>
      <c r="O47" s="5" t="s">
        <v>440</v>
      </c>
      <c r="P47" s="5" t="s">
        <v>366</v>
      </c>
      <c r="Q47" s="5"/>
      <c r="R47" s="5" t="s">
        <v>367</v>
      </c>
      <c r="S47" s="5" t="s">
        <v>366</v>
      </c>
      <c r="T47" s="5"/>
      <c r="U47" s="5" t="s">
        <v>367</v>
      </c>
      <c r="V47" s="5" t="s">
        <v>366</v>
      </c>
      <c r="W47" s="5"/>
      <c r="X47" s="5" t="s">
        <v>367</v>
      </c>
      <c r="Y47" s="5" t="s">
        <v>366</v>
      </c>
      <c r="Z47" s="5"/>
      <c r="AA47" s="5" t="s">
        <v>367</v>
      </c>
      <c r="AB47" s="5" t="s">
        <v>366</v>
      </c>
      <c r="AC47" s="5"/>
      <c r="AD47" s="5" t="s">
        <v>367</v>
      </c>
      <c r="AE47" s="5" t="s">
        <v>366</v>
      </c>
      <c r="AF47" s="5"/>
      <c r="AG47" s="5" t="s">
        <v>367</v>
      </c>
      <c r="AH47" s="5" t="s">
        <v>398</v>
      </c>
    </row>
    <row r="48" spans="1:34" ht="13.5" customHeight="1">
      <c r="A48" s="4" t="s">
        <v>441</v>
      </c>
      <c r="B48" s="4" t="s">
        <v>53</v>
      </c>
      <c r="C48" s="4" t="s">
        <v>54</v>
      </c>
      <c r="D48" s="4" t="s">
        <v>388</v>
      </c>
      <c r="E48" s="4" t="s">
        <v>422</v>
      </c>
      <c r="F48" s="4" t="s">
        <v>358</v>
      </c>
      <c r="G48" s="4" t="s">
        <v>442</v>
      </c>
      <c r="H48" s="4" t="s">
        <v>443</v>
      </c>
      <c r="I48" s="4"/>
      <c r="J48" s="4" t="s">
        <v>444</v>
      </c>
      <c r="K48" s="4" t="s">
        <v>445</v>
      </c>
      <c r="L48" s="4" t="s">
        <v>446</v>
      </c>
      <c r="M48" s="4" t="s">
        <v>94</v>
      </c>
      <c r="N48" s="4" t="s">
        <v>116</v>
      </c>
      <c r="O48" s="4" t="s">
        <v>440</v>
      </c>
      <c r="P48" s="4" t="s">
        <v>366</v>
      </c>
      <c r="Q48" s="4"/>
      <c r="R48" s="4" t="s">
        <v>367</v>
      </c>
      <c r="S48" s="4" t="s">
        <v>366</v>
      </c>
      <c r="T48" s="4"/>
      <c r="U48" s="4" t="s">
        <v>367</v>
      </c>
      <c r="V48" s="4" t="s">
        <v>366</v>
      </c>
      <c r="W48" s="4"/>
      <c r="X48" s="4" t="s">
        <v>367</v>
      </c>
      <c r="Y48" s="4" t="s">
        <v>366</v>
      </c>
      <c r="Z48" s="4"/>
      <c r="AA48" s="4" t="s">
        <v>367</v>
      </c>
      <c r="AB48" s="4" t="s">
        <v>366</v>
      </c>
      <c r="AC48" s="4"/>
      <c r="AD48" s="4" t="s">
        <v>367</v>
      </c>
      <c r="AE48" s="4" t="s">
        <v>366</v>
      </c>
      <c r="AF48" s="4"/>
      <c r="AG48" s="4" t="s">
        <v>367</v>
      </c>
      <c r="AH48" s="4" t="s">
        <v>398</v>
      </c>
    </row>
    <row r="49" spans="1:34" ht="13.5" customHeight="1">
      <c r="A49" s="5" t="s">
        <v>447</v>
      </c>
      <c r="B49" s="5" t="s">
        <v>53</v>
      </c>
      <c r="C49" s="5" t="s">
        <v>54</v>
      </c>
      <c r="D49" s="5" t="s">
        <v>388</v>
      </c>
      <c r="E49" s="5" t="s">
        <v>422</v>
      </c>
      <c r="F49" s="5" t="s">
        <v>358</v>
      </c>
      <c r="G49" s="5" t="s">
        <v>448</v>
      </c>
      <c r="H49" s="5" t="s">
        <v>449</v>
      </c>
      <c r="I49" s="5"/>
      <c r="J49" s="5" t="s">
        <v>450</v>
      </c>
      <c r="K49" s="5" t="s">
        <v>451</v>
      </c>
      <c r="L49" s="5" t="s">
        <v>452</v>
      </c>
      <c r="M49" s="5" t="s">
        <v>94</v>
      </c>
      <c r="N49" s="5" t="s">
        <v>116</v>
      </c>
      <c r="O49" s="5" t="s">
        <v>440</v>
      </c>
      <c r="P49" s="5" t="s">
        <v>366</v>
      </c>
      <c r="Q49" s="5"/>
      <c r="R49" s="5" t="s">
        <v>367</v>
      </c>
      <c r="S49" s="5" t="s">
        <v>366</v>
      </c>
      <c r="T49" s="5"/>
      <c r="U49" s="5" t="s">
        <v>367</v>
      </c>
      <c r="V49" s="5" t="s">
        <v>366</v>
      </c>
      <c r="W49" s="5"/>
      <c r="X49" s="5" t="s">
        <v>367</v>
      </c>
      <c r="Y49" s="5" t="s">
        <v>366</v>
      </c>
      <c r="Z49" s="5"/>
      <c r="AA49" s="5" t="s">
        <v>367</v>
      </c>
      <c r="AB49" s="5" t="s">
        <v>366</v>
      </c>
      <c r="AC49" s="5"/>
      <c r="AD49" s="5" t="s">
        <v>367</v>
      </c>
      <c r="AE49" s="5" t="s">
        <v>366</v>
      </c>
      <c r="AF49" s="5"/>
      <c r="AG49" s="5" t="s">
        <v>367</v>
      </c>
      <c r="AH49" s="5" t="s">
        <v>398</v>
      </c>
    </row>
    <row r="50" spans="1:34" ht="13.5" customHeight="1">
      <c r="A50" s="4" t="s">
        <v>453</v>
      </c>
      <c r="B50" s="4" t="s">
        <v>53</v>
      </c>
      <c r="C50" s="4" t="s">
        <v>54</v>
      </c>
      <c r="D50" s="4" t="s">
        <v>388</v>
      </c>
      <c r="E50" s="4" t="s">
        <v>422</v>
      </c>
      <c r="F50" s="4" t="s">
        <v>358</v>
      </c>
      <c r="G50" s="4" t="s">
        <v>454</v>
      </c>
      <c r="H50" s="4" t="s">
        <v>455</v>
      </c>
      <c r="I50" s="4"/>
      <c r="J50" s="4" t="s">
        <v>456</v>
      </c>
      <c r="K50" s="4" t="s">
        <v>457</v>
      </c>
      <c r="L50" s="4" t="s">
        <v>458</v>
      </c>
      <c r="M50" s="4" t="s">
        <v>94</v>
      </c>
      <c r="N50" s="4" t="s">
        <v>116</v>
      </c>
      <c r="O50" s="4" t="s">
        <v>440</v>
      </c>
      <c r="P50" s="4" t="s">
        <v>366</v>
      </c>
      <c r="Q50" s="4"/>
      <c r="R50" s="4" t="s">
        <v>367</v>
      </c>
      <c r="S50" s="4" t="s">
        <v>366</v>
      </c>
      <c r="T50" s="4"/>
      <c r="U50" s="4" t="s">
        <v>367</v>
      </c>
      <c r="V50" s="4" t="s">
        <v>366</v>
      </c>
      <c r="W50" s="4"/>
      <c r="X50" s="4" t="s">
        <v>367</v>
      </c>
      <c r="Y50" s="4" t="s">
        <v>366</v>
      </c>
      <c r="Z50" s="4"/>
      <c r="AA50" s="4" t="s">
        <v>367</v>
      </c>
      <c r="AB50" s="4" t="s">
        <v>366</v>
      </c>
      <c r="AC50" s="4"/>
      <c r="AD50" s="4" t="s">
        <v>367</v>
      </c>
      <c r="AE50" s="4" t="s">
        <v>366</v>
      </c>
      <c r="AF50" s="4"/>
      <c r="AG50" s="4" t="s">
        <v>367</v>
      </c>
      <c r="AH50" s="4" t="s">
        <v>398</v>
      </c>
    </row>
    <row r="51" spans="1:34" ht="13.5" customHeight="1">
      <c r="A51" s="5" t="s">
        <v>459</v>
      </c>
      <c r="B51" s="5" t="s">
        <v>53</v>
      </c>
      <c r="C51" s="5" t="s">
        <v>54</v>
      </c>
      <c r="D51" s="5" t="s">
        <v>388</v>
      </c>
      <c r="E51" s="5" t="s">
        <v>422</v>
      </c>
      <c r="F51" s="5" t="s">
        <v>358</v>
      </c>
      <c r="G51" s="5" t="s">
        <v>460</v>
      </c>
      <c r="H51" s="5" t="s">
        <v>461</v>
      </c>
      <c r="I51" s="5"/>
      <c r="J51" s="5" t="s">
        <v>462</v>
      </c>
      <c r="K51" s="5" t="s">
        <v>463</v>
      </c>
      <c r="L51" s="5" t="s">
        <v>464</v>
      </c>
      <c r="M51" s="5" t="s">
        <v>94</v>
      </c>
      <c r="N51" s="5" t="s">
        <v>116</v>
      </c>
      <c r="O51" s="5" t="s">
        <v>440</v>
      </c>
      <c r="P51" s="5" t="s">
        <v>366</v>
      </c>
      <c r="Q51" s="5"/>
      <c r="R51" s="5" t="s">
        <v>367</v>
      </c>
      <c r="S51" s="5" t="s">
        <v>366</v>
      </c>
      <c r="T51" s="5"/>
      <c r="U51" s="5" t="s">
        <v>367</v>
      </c>
      <c r="V51" s="5" t="s">
        <v>366</v>
      </c>
      <c r="W51" s="5"/>
      <c r="X51" s="5" t="s">
        <v>367</v>
      </c>
      <c r="Y51" s="5" t="s">
        <v>366</v>
      </c>
      <c r="Z51" s="5"/>
      <c r="AA51" s="5" t="s">
        <v>367</v>
      </c>
      <c r="AB51" s="5" t="s">
        <v>366</v>
      </c>
      <c r="AC51" s="5"/>
      <c r="AD51" s="5" t="s">
        <v>367</v>
      </c>
      <c r="AE51" s="5" t="s">
        <v>366</v>
      </c>
      <c r="AF51" s="5"/>
      <c r="AG51" s="5" t="s">
        <v>367</v>
      </c>
      <c r="AH51" s="5" t="s">
        <v>398</v>
      </c>
    </row>
    <row r="52" spans="1:34" ht="13.5" customHeight="1">
      <c r="A52" s="4" t="s">
        <v>465</v>
      </c>
      <c r="B52" s="4" t="s">
        <v>53</v>
      </c>
      <c r="C52" s="4" t="s">
        <v>54</v>
      </c>
      <c r="D52" s="4" t="s">
        <v>388</v>
      </c>
      <c r="E52" s="4" t="s">
        <v>422</v>
      </c>
      <c r="F52" s="4" t="s">
        <v>358</v>
      </c>
      <c r="G52" s="4" t="s">
        <v>466</v>
      </c>
      <c r="H52" s="4" t="s">
        <v>467</v>
      </c>
      <c r="I52" s="4"/>
      <c r="J52" s="4" t="s">
        <v>468</v>
      </c>
      <c r="K52" s="4" t="s">
        <v>469</v>
      </c>
      <c r="L52" s="4" t="s">
        <v>470</v>
      </c>
      <c r="M52" s="4" t="s">
        <v>94</v>
      </c>
      <c r="N52" s="4" t="s">
        <v>116</v>
      </c>
      <c r="O52" s="4" t="s">
        <v>440</v>
      </c>
      <c r="P52" s="4" t="s">
        <v>366</v>
      </c>
      <c r="Q52" s="4"/>
      <c r="R52" s="4" t="s">
        <v>367</v>
      </c>
      <c r="S52" s="4" t="s">
        <v>366</v>
      </c>
      <c r="T52" s="4"/>
      <c r="U52" s="4" t="s">
        <v>367</v>
      </c>
      <c r="V52" s="4" t="s">
        <v>366</v>
      </c>
      <c r="W52" s="4"/>
      <c r="X52" s="4" t="s">
        <v>367</v>
      </c>
      <c r="Y52" s="4" t="s">
        <v>366</v>
      </c>
      <c r="Z52" s="4"/>
      <c r="AA52" s="4" t="s">
        <v>367</v>
      </c>
      <c r="AB52" s="4" t="s">
        <v>366</v>
      </c>
      <c r="AC52" s="4"/>
      <c r="AD52" s="4" t="s">
        <v>367</v>
      </c>
      <c r="AE52" s="4" t="s">
        <v>366</v>
      </c>
      <c r="AF52" s="4"/>
      <c r="AG52" s="4" t="s">
        <v>367</v>
      </c>
      <c r="AH52" s="4" t="s">
        <v>398</v>
      </c>
    </row>
    <row r="53" spans="1:34" ht="13.5" customHeight="1">
      <c r="A53" s="5" t="s">
        <v>471</v>
      </c>
      <c r="B53" s="5" t="s">
        <v>53</v>
      </c>
      <c r="C53" s="5" t="s">
        <v>54</v>
      </c>
      <c r="D53" s="5" t="s">
        <v>388</v>
      </c>
      <c r="E53" s="5" t="s">
        <v>422</v>
      </c>
      <c r="F53" s="5" t="s">
        <v>358</v>
      </c>
      <c r="G53" s="5" t="s">
        <v>472</v>
      </c>
      <c r="H53" s="5" t="s">
        <v>473</v>
      </c>
      <c r="I53" s="5"/>
      <c r="J53" s="5" t="s">
        <v>474</v>
      </c>
      <c r="K53" s="5" t="s">
        <v>475</v>
      </c>
      <c r="L53" s="5" t="s">
        <v>476</v>
      </c>
      <c r="M53" s="5" t="s">
        <v>94</v>
      </c>
      <c r="N53" s="5" t="s">
        <v>116</v>
      </c>
      <c r="O53" s="5" t="s">
        <v>440</v>
      </c>
      <c r="P53" s="5" t="s">
        <v>366</v>
      </c>
      <c r="Q53" s="5"/>
      <c r="R53" s="5" t="s">
        <v>367</v>
      </c>
      <c r="S53" s="5" t="s">
        <v>366</v>
      </c>
      <c r="T53" s="5"/>
      <c r="U53" s="5" t="s">
        <v>367</v>
      </c>
      <c r="V53" s="5" t="s">
        <v>366</v>
      </c>
      <c r="W53" s="5"/>
      <c r="X53" s="5" t="s">
        <v>367</v>
      </c>
      <c r="Y53" s="5" t="s">
        <v>366</v>
      </c>
      <c r="Z53" s="5"/>
      <c r="AA53" s="5" t="s">
        <v>367</v>
      </c>
      <c r="AB53" s="5" t="s">
        <v>366</v>
      </c>
      <c r="AC53" s="5"/>
      <c r="AD53" s="5" t="s">
        <v>367</v>
      </c>
      <c r="AE53" s="5" t="s">
        <v>366</v>
      </c>
      <c r="AF53" s="5"/>
      <c r="AG53" s="5" t="s">
        <v>367</v>
      </c>
      <c r="AH53" s="5" t="s">
        <v>398</v>
      </c>
    </row>
    <row r="54" spans="1:34" ht="13.5" customHeight="1">
      <c r="A54" s="4" t="s">
        <v>477</v>
      </c>
      <c r="B54" s="4" t="s">
        <v>53</v>
      </c>
      <c r="C54" s="4" t="s">
        <v>54</v>
      </c>
      <c r="D54" s="4" t="s">
        <v>388</v>
      </c>
      <c r="E54" s="4" t="s">
        <v>478</v>
      </c>
      <c r="F54" s="4" t="s">
        <v>358</v>
      </c>
      <c r="G54" s="4" t="s">
        <v>479</v>
      </c>
      <c r="H54" s="4" t="s">
        <v>480</v>
      </c>
      <c r="I54" s="4" t="s">
        <v>481</v>
      </c>
      <c r="J54" s="4" t="s">
        <v>482</v>
      </c>
      <c r="K54" s="4" t="s">
        <v>483</v>
      </c>
      <c r="L54" s="4" t="s">
        <v>484</v>
      </c>
      <c r="M54" s="4" t="s">
        <v>64</v>
      </c>
      <c r="N54" s="4" t="s">
        <v>116</v>
      </c>
      <c r="O54" s="4" t="s">
        <v>485</v>
      </c>
      <c r="P54" s="4" t="s">
        <v>366</v>
      </c>
      <c r="Q54" s="4"/>
      <c r="R54" s="4" t="s">
        <v>367</v>
      </c>
      <c r="S54" s="4" t="s">
        <v>366</v>
      </c>
      <c r="T54" s="4"/>
      <c r="U54" s="4" t="s">
        <v>367</v>
      </c>
      <c r="V54" s="4" t="s">
        <v>366</v>
      </c>
      <c r="W54" s="4"/>
      <c r="X54" s="4" t="s">
        <v>367</v>
      </c>
      <c r="Y54" s="4" t="s">
        <v>366</v>
      </c>
      <c r="Z54" s="4"/>
      <c r="AA54" s="4" t="s">
        <v>367</v>
      </c>
      <c r="AB54" s="4" t="s">
        <v>366</v>
      </c>
      <c r="AC54" s="4"/>
      <c r="AD54" s="4" t="s">
        <v>367</v>
      </c>
      <c r="AE54" s="4" t="s">
        <v>366</v>
      </c>
      <c r="AF54" s="4"/>
      <c r="AG54" s="4" t="s">
        <v>367</v>
      </c>
      <c r="AH54" s="4" t="s">
        <v>398</v>
      </c>
    </row>
    <row r="55" spans="1:34" ht="13.5" customHeight="1">
      <c r="A55" s="5" t="s">
        <v>486</v>
      </c>
      <c r="B55" s="5" t="s">
        <v>53</v>
      </c>
      <c r="C55" s="5" t="s">
        <v>54</v>
      </c>
      <c r="D55" s="5" t="s">
        <v>388</v>
      </c>
      <c r="E55" s="5" t="s">
        <v>478</v>
      </c>
      <c r="F55" s="5" t="s">
        <v>358</v>
      </c>
      <c r="G55" s="5" t="s">
        <v>487</v>
      </c>
      <c r="H55" s="5" t="s">
        <v>488</v>
      </c>
      <c r="I55" s="5" t="s">
        <v>481</v>
      </c>
      <c r="J55" s="5" t="s">
        <v>482</v>
      </c>
      <c r="K55" s="5" t="s">
        <v>489</v>
      </c>
      <c r="L55" s="5" t="s">
        <v>484</v>
      </c>
      <c r="M55" s="5" t="s">
        <v>64</v>
      </c>
      <c r="N55" s="5" t="s">
        <v>116</v>
      </c>
      <c r="O55" s="5" t="s">
        <v>485</v>
      </c>
      <c r="P55" s="5" t="s">
        <v>366</v>
      </c>
      <c r="Q55" s="5"/>
      <c r="R55" s="5" t="s">
        <v>367</v>
      </c>
      <c r="S55" s="5" t="s">
        <v>366</v>
      </c>
      <c r="T55" s="5"/>
      <c r="U55" s="5" t="s">
        <v>367</v>
      </c>
      <c r="V55" s="5" t="s">
        <v>366</v>
      </c>
      <c r="W55" s="5"/>
      <c r="X55" s="5" t="s">
        <v>367</v>
      </c>
      <c r="Y55" s="5" t="s">
        <v>366</v>
      </c>
      <c r="Z55" s="5"/>
      <c r="AA55" s="5" t="s">
        <v>367</v>
      </c>
      <c r="AB55" s="5" t="s">
        <v>366</v>
      </c>
      <c r="AC55" s="5"/>
      <c r="AD55" s="5" t="s">
        <v>367</v>
      </c>
      <c r="AE55" s="5" t="s">
        <v>366</v>
      </c>
      <c r="AF55" s="5"/>
      <c r="AG55" s="5" t="s">
        <v>367</v>
      </c>
      <c r="AH55" s="5" t="s">
        <v>398</v>
      </c>
    </row>
    <row r="56" spans="1:34" ht="13.5" customHeight="1">
      <c r="A56" s="4" t="s">
        <v>490</v>
      </c>
      <c r="B56" s="4" t="s">
        <v>53</v>
      </c>
      <c r="C56" s="4" t="s">
        <v>54</v>
      </c>
      <c r="D56" s="4" t="s">
        <v>388</v>
      </c>
      <c r="E56" s="4" t="s">
        <v>478</v>
      </c>
      <c r="F56" s="4" t="s">
        <v>358</v>
      </c>
      <c r="G56" s="4" t="s">
        <v>491</v>
      </c>
      <c r="H56" s="4" t="s">
        <v>492</v>
      </c>
      <c r="I56" s="4" t="s">
        <v>481</v>
      </c>
      <c r="J56" s="4" t="s">
        <v>482</v>
      </c>
      <c r="K56" s="4" t="s">
        <v>493</v>
      </c>
      <c r="L56" s="4" t="s">
        <v>484</v>
      </c>
      <c r="M56" s="4" t="s">
        <v>64</v>
      </c>
      <c r="N56" s="4" t="s">
        <v>116</v>
      </c>
      <c r="O56" s="4" t="s">
        <v>485</v>
      </c>
      <c r="P56" s="4" t="s">
        <v>366</v>
      </c>
      <c r="Q56" s="4"/>
      <c r="R56" s="4" t="s">
        <v>367</v>
      </c>
      <c r="S56" s="4" t="s">
        <v>366</v>
      </c>
      <c r="T56" s="4"/>
      <c r="U56" s="4" t="s">
        <v>367</v>
      </c>
      <c r="V56" s="4" t="s">
        <v>366</v>
      </c>
      <c r="W56" s="4"/>
      <c r="X56" s="4" t="s">
        <v>367</v>
      </c>
      <c r="Y56" s="4" t="s">
        <v>366</v>
      </c>
      <c r="Z56" s="4"/>
      <c r="AA56" s="4" t="s">
        <v>367</v>
      </c>
      <c r="AB56" s="4" t="s">
        <v>366</v>
      </c>
      <c r="AC56" s="4"/>
      <c r="AD56" s="4" t="s">
        <v>367</v>
      </c>
      <c r="AE56" s="4" t="s">
        <v>366</v>
      </c>
      <c r="AF56" s="4"/>
      <c r="AG56" s="4" t="s">
        <v>367</v>
      </c>
      <c r="AH56" s="4" t="s">
        <v>398</v>
      </c>
    </row>
    <row r="57" spans="1:34" ht="13.5" customHeight="1">
      <c r="A57" s="5" t="s">
        <v>494</v>
      </c>
      <c r="B57" s="5" t="s">
        <v>53</v>
      </c>
      <c r="C57" s="5" t="s">
        <v>54</v>
      </c>
      <c r="D57" s="5" t="s">
        <v>388</v>
      </c>
      <c r="E57" s="5" t="s">
        <v>478</v>
      </c>
      <c r="F57" s="5" t="s">
        <v>358</v>
      </c>
      <c r="G57" s="5" t="s">
        <v>495</v>
      </c>
      <c r="H57" s="5" t="s">
        <v>496</v>
      </c>
      <c r="I57" s="5" t="s">
        <v>481</v>
      </c>
      <c r="J57" s="5" t="s">
        <v>482</v>
      </c>
      <c r="K57" s="5" t="s">
        <v>497</v>
      </c>
      <c r="L57" s="5" t="s">
        <v>484</v>
      </c>
      <c r="M57" s="5" t="s">
        <v>64</v>
      </c>
      <c r="N57" s="5" t="s">
        <v>116</v>
      </c>
      <c r="O57" s="5" t="s">
        <v>485</v>
      </c>
      <c r="P57" s="5" t="s">
        <v>366</v>
      </c>
      <c r="Q57" s="5"/>
      <c r="R57" s="5" t="s">
        <v>367</v>
      </c>
      <c r="S57" s="5" t="s">
        <v>366</v>
      </c>
      <c r="T57" s="5"/>
      <c r="U57" s="5" t="s">
        <v>367</v>
      </c>
      <c r="V57" s="5" t="s">
        <v>366</v>
      </c>
      <c r="W57" s="5"/>
      <c r="X57" s="5" t="s">
        <v>367</v>
      </c>
      <c r="Y57" s="5" t="s">
        <v>366</v>
      </c>
      <c r="Z57" s="5"/>
      <c r="AA57" s="5" t="s">
        <v>367</v>
      </c>
      <c r="AB57" s="5" t="s">
        <v>366</v>
      </c>
      <c r="AC57" s="5"/>
      <c r="AD57" s="5" t="s">
        <v>367</v>
      </c>
      <c r="AE57" s="5" t="s">
        <v>366</v>
      </c>
      <c r="AF57" s="5"/>
      <c r="AG57" s="5" t="s">
        <v>367</v>
      </c>
      <c r="AH57" s="5" t="s">
        <v>398</v>
      </c>
    </row>
    <row r="58" spans="1:34" ht="13.5" customHeight="1">
      <c r="A58" s="4" t="s">
        <v>498</v>
      </c>
      <c r="B58" s="4" t="s">
        <v>53</v>
      </c>
      <c r="C58" s="4" t="s">
        <v>54</v>
      </c>
      <c r="D58" s="4" t="s">
        <v>388</v>
      </c>
      <c r="E58" s="4" t="s">
        <v>499</v>
      </c>
      <c r="F58" s="4" t="s">
        <v>358</v>
      </c>
      <c r="G58" s="4" t="s">
        <v>500</v>
      </c>
      <c r="H58" s="4" t="s">
        <v>501</v>
      </c>
      <c r="I58" s="4" t="s">
        <v>502</v>
      </c>
      <c r="J58" s="4" t="s">
        <v>503</v>
      </c>
      <c r="K58" s="4" t="s">
        <v>504</v>
      </c>
      <c r="L58" s="4" t="s">
        <v>505</v>
      </c>
      <c r="M58" s="4" t="s">
        <v>94</v>
      </c>
      <c r="N58" s="4" t="s">
        <v>116</v>
      </c>
      <c r="O58" s="4" t="s">
        <v>506</v>
      </c>
      <c r="P58" s="4" t="s">
        <v>366</v>
      </c>
      <c r="Q58" s="4"/>
      <c r="R58" s="4" t="s">
        <v>367</v>
      </c>
      <c r="S58" s="4" t="s">
        <v>366</v>
      </c>
      <c r="T58" s="4"/>
      <c r="U58" s="4" t="s">
        <v>367</v>
      </c>
      <c r="V58" s="4" t="s">
        <v>366</v>
      </c>
      <c r="W58" s="4"/>
      <c r="X58" s="4" t="s">
        <v>367</v>
      </c>
      <c r="Y58" s="4" t="s">
        <v>366</v>
      </c>
      <c r="Z58" s="4"/>
      <c r="AA58" s="4" t="s">
        <v>367</v>
      </c>
      <c r="AB58" s="4" t="s">
        <v>366</v>
      </c>
      <c r="AC58" s="4"/>
      <c r="AD58" s="4" t="s">
        <v>367</v>
      </c>
      <c r="AE58" s="4" t="s">
        <v>366</v>
      </c>
      <c r="AF58" s="4"/>
      <c r="AG58" s="4" t="s">
        <v>367</v>
      </c>
      <c r="AH58" s="4" t="s">
        <v>398</v>
      </c>
    </row>
    <row r="59" spans="1:34" ht="13.5" customHeight="1">
      <c r="A59" s="5" t="s">
        <v>507</v>
      </c>
      <c r="B59" s="5" t="s">
        <v>53</v>
      </c>
      <c r="C59" s="5" t="s">
        <v>54</v>
      </c>
      <c r="D59" s="5" t="s">
        <v>388</v>
      </c>
      <c r="E59" s="5" t="s">
        <v>508</v>
      </c>
      <c r="F59" s="5" t="s">
        <v>358</v>
      </c>
      <c r="G59" s="5" t="s">
        <v>509</v>
      </c>
      <c r="H59" s="5" t="s">
        <v>510</v>
      </c>
      <c r="I59" s="5" t="s">
        <v>511</v>
      </c>
      <c r="J59" s="5" t="s">
        <v>512</v>
      </c>
      <c r="K59" s="5" t="s">
        <v>513</v>
      </c>
      <c r="L59" s="5" t="s">
        <v>514</v>
      </c>
      <c r="M59" s="5" t="s">
        <v>94</v>
      </c>
      <c r="N59" s="5" t="s">
        <v>116</v>
      </c>
      <c r="O59" s="5" t="s">
        <v>515</v>
      </c>
      <c r="P59" s="5" t="s">
        <v>366</v>
      </c>
      <c r="Q59" s="5"/>
      <c r="R59" s="5" t="s">
        <v>367</v>
      </c>
      <c r="S59" s="5" t="s">
        <v>366</v>
      </c>
      <c r="T59" s="5"/>
      <c r="U59" s="5" t="s">
        <v>367</v>
      </c>
      <c r="V59" s="5" t="s">
        <v>366</v>
      </c>
      <c r="W59" s="5"/>
      <c r="X59" s="5" t="s">
        <v>367</v>
      </c>
      <c r="Y59" s="5" t="s">
        <v>366</v>
      </c>
      <c r="Z59" s="5"/>
      <c r="AA59" s="5" t="s">
        <v>367</v>
      </c>
      <c r="AB59" s="5" t="s">
        <v>366</v>
      </c>
      <c r="AC59" s="5"/>
      <c r="AD59" s="5" t="s">
        <v>367</v>
      </c>
      <c r="AE59" s="5" t="s">
        <v>366</v>
      </c>
      <c r="AF59" s="5"/>
      <c r="AG59" s="5" t="s">
        <v>367</v>
      </c>
      <c r="AH59" s="5" t="s">
        <v>398</v>
      </c>
    </row>
    <row r="60" spans="1:34" ht="13.5" customHeight="1">
      <c r="A60" s="4" t="s">
        <v>516</v>
      </c>
      <c r="B60" s="4" t="s">
        <v>53</v>
      </c>
      <c r="C60" s="4" t="s">
        <v>54</v>
      </c>
      <c r="D60" s="4" t="s">
        <v>388</v>
      </c>
      <c r="E60" s="4" t="s">
        <v>508</v>
      </c>
      <c r="F60" s="4" t="s">
        <v>358</v>
      </c>
      <c r="G60" s="4" t="s">
        <v>517</v>
      </c>
      <c r="H60" s="4" t="s">
        <v>518</v>
      </c>
      <c r="I60" s="4" t="s">
        <v>511</v>
      </c>
      <c r="J60" s="4" t="s">
        <v>512</v>
      </c>
      <c r="K60" s="4" t="s">
        <v>519</v>
      </c>
      <c r="L60" s="4" t="s">
        <v>514</v>
      </c>
      <c r="M60" s="4" t="s">
        <v>94</v>
      </c>
      <c r="N60" s="4" t="s">
        <v>116</v>
      </c>
      <c r="O60" s="4" t="s">
        <v>515</v>
      </c>
      <c r="P60" s="4" t="s">
        <v>366</v>
      </c>
      <c r="Q60" s="4"/>
      <c r="R60" s="4" t="s">
        <v>367</v>
      </c>
      <c r="S60" s="4" t="s">
        <v>366</v>
      </c>
      <c r="T60" s="4"/>
      <c r="U60" s="4" t="s">
        <v>367</v>
      </c>
      <c r="V60" s="4" t="s">
        <v>366</v>
      </c>
      <c r="W60" s="4"/>
      <c r="X60" s="4" t="s">
        <v>367</v>
      </c>
      <c r="Y60" s="4" t="s">
        <v>366</v>
      </c>
      <c r="Z60" s="4"/>
      <c r="AA60" s="4" t="s">
        <v>367</v>
      </c>
      <c r="AB60" s="4" t="s">
        <v>366</v>
      </c>
      <c r="AC60" s="4"/>
      <c r="AD60" s="4" t="s">
        <v>367</v>
      </c>
      <c r="AE60" s="4" t="s">
        <v>366</v>
      </c>
      <c r="AF60" s="4"/>
      <c r="AG60" s="4" t="s">
        <v>367</v>
      </c>
      <c r="AH60" s="4" t="s">
        <v>398</v>
      </c>
    </row>
    <row r="61" spans="1:34" ht="13.5" customHeight="1">
      <c r="A61" s="5" t="s">
        <v>520</v>
      </c>
      <c r="B61" s="5" t="s">
        <v>53</v>
      </c>
      <c r="C61" s="5" t="s">
        <v>54</v>
      </c>
      <c r="D61" s="5" t="s">
        <v>388</v>
      </c>
      <c r="E61" s="5" t="s">
        <v>521</v>
      </c>
      <c r="F61" s="5" t="s">
        <v>358</v>
      </c>
      <c r="G61" s="5" t="s">
        <v>522</v>
      </c>
      <c r="H61" s="5" t="s">
        <v>523</v>
      </c>
      <c r="I61" s="5" t="s">
        <v>524</v>
      </c>
      <c r="J61" s="5" t="s">
        <v>525</v>
      </c>
      <c r="K61" s="5" t="s">
        <v>526</v>
      </c>
      <c r="L61" s="5" t="s">
        <v>527</v>
      </c>
      <c r="M61" s="5" t="s">
        <v>94</v>
      </c>
      <c r="N61" s="5" t="s">
        <v>116</v>
      </c>
      <c r="O61" s="5" t="s">
        <v>528</v>
      </c>
      <c r="P61" s="5" t="s">
        <v>366</v>
      </c>
      <c r="Q61" s="5"/>
      <c r="R61" s="5" t="s">
        <v>367</v>
      </c>
      <c r="S61" s="5" t="s">
        <v>366</v>
      </c>
      <c r="T61" s="5"/>
      <c r="U61" s="5" t="s">
        <v>367</v>
      </c>
      <c r="V61" s="5" t="s">
        <v>366</v>
      </c>
      <c r="W61" s="5"/>
      <c r="X61" s="5" t="s">
        <v>367</v>
      </c>
      <c r="Y61" s="5" t="s">
        <v>366</v>
      </c>
      <c r="Z61" s="5"/>
      <c r="AA61" s="5" t="s">
        <v>367</v>
      </c>
      <c r="AB61" s="5" t="s">
        <v>366</v>
      </c>
      <c r="AC61" s="5"/>
      <c r="AD61" s="5" t="s">
        <v>367</v>
      </c>
      <c r="AE61" s="5" t="s">
        <v>366</v>
      </c>
      <c r="AF61" s="5"/>
      <c r="AG61" s="5" t="s">
        <v>367</v>
      </c>
      <c r="AH61" s="5" t="s">
        <v>398</v>
      </c>
    </row>
    <row r="62" spans="1:34" ht="13.5" customHeight="1">
      <c r="A62" s="4" t="s">
        <v>529</v>
      </c>
      <c r="B62" s="4" t="s">
        <v>53</v>
      </c>
      <c r="C62" s="4" t="s">
        <v>54</v>
      </c>
      <c r="D62" s="4" t="s">
        <v>388</v>
      </c>
      <c r="E62" s="4" t="s">
        <v>521</v>
      </c>
      <c r="F62" s="4" t="s">
        <v>358</v>
      </c>
      <c r="G62" s="4" t="s">
        <v>530</v>
      </c>
      <c r="H62" s="4" t="s">
        <v>531</v>
      </c>
      <c r="I62" s="4" t="s">
        <v>524</v>
      </c>
      <c r="J62" s="4" t="s">
        <v>525</v>
      </c>
      <c r="K62" s="4" t="s">
        <v>532</v>
      </c>
      <c r="L62" s="4" t="s">
        <v>527</v>
      </c>
      <c r="M62" s="4" t="s">
        <v>94</v>
      </c>
      <c r="N62" s="4" t="s">
        <v>116</v>
      </c>
      <c r="O62" s="4" t="s">
        <v>528</v>
      </c>
      <c r="P62" s="4" t="s">
        <v>366</v>
      </c>
      <c r="Q62" s="4"/>
      <c r="R62" s="4" t="s">
        <v>367</v>
      </c>
      <c r="S62" s="4" t="s">
        <v>366</v>
      </c>
      <c r="T62" s="4"/>
      <c r="U62" s="4" t="s">
        <v>367</v>
      </c>
      <c r="V62" s="4" t="s">
        <v>366</v>
      </c>
      <c r="W62" s="4"/>
      <c r="X62" s="4" t="s">
        <v>367</v>
      </c>
      <c r="Y62" s="4" t="s">
        <v>366</v>
      </c>
      <c r="Z62" s="4"/>
      <c r="AA62" s="4" t="s">
        <v>367</v>
      </c>
      <c r="AB62" s="4" t="s">
        <v>366</v>
      </c>
      <c r="AC62" s="4"/>
      <c r="AD62" s="4" t="s">
        <v>367</v>
      </c>
      <c r="AE62" s="4" t="s">
        <v>366</v>
      </c>
      <c r="AF62" s="4"/>
      <c r="AG62" s="4" t="s">
        <v>367</v>
      </c>
      <c r="AH62" s="4" t="s">
        <v>398</v>
      </c>
    </row>
    <row r="63" spans="1:34" ht="13.5" customHeight="1">
      <c r="A63" s="5" t="s">
        <v>533</v>
      </c>
      <c r="B63" s="5" t="s">
        <v>53</v>
      </c>
      <c r="C63" s="5" t="s">
        <v>54</v>
      </c>
      <c r="D63" s="5" t="s">
        <v>388</v>
      </c>
      <c r="E63" s="5" t="s">
        <v>534</v>
      </c>
      <c r="F63" s="5" t="s">
        <v>358</v>
      </c>
      <c r="G63" s="5" t="s">
        <v>535</v>
      </c>
      <c r="H63" s="5" t="s">
        <v>536</v>
      </c>
      <c r="I63" s="5" t="s">
        <v>537</v>
      </c>
      <c r="J63" s="5" t="s">
        <v>538</v>
      </c>
      <c r="K63" s="5" t="s">
        <v>539</v>
      </c>
      <c r="L63" s="5" t="s">
        <v>540</v>
      </c>
      <c r="M63" s="5" t="s">
        <v>94</v>
      </c>
      <c r="N63" s="5" t="s">
        <v>116</v>
      </c>
      <c r="O63" s="5" t="s">
        <v>541</v>
      </c>
      <c r="P63" s="5" t="s">
        <v>366</v>
      </c>
      <c r="Q63" s="5"/>
      <c r="R63" s="5" t="s">
        <v>367</v>
      </c>
      <c r="S63" s="5" t="s">
        <v>366</v>
      </c>
      <c r="T63" s="5"/>
      <c r="U63" s="5" t="s">
        <v>367</v>
      </c>
      <c r="V63" s="5" t="s">
        <v>366</v>
      </c>
      <c r="W63" s="5"/>
      <c r="X63" s="5" t="s">
        <v>367</v>
      </c>
      <c r="Y63" s="5" t="s">
        <v>366</v>
      </c>
      <c r="Z63" s="5"/>
      <c r="AA63" s="5" t="s">
        <v>367</v>
      </c>
      <c r="AB63" s="5" t="s">
        <v>366</v>
      </c>
      <c r="AC63" s="5"/>
      <c r="AD63" s="5" t="s">
        <v>367</v>
      </c>
      <c r="AE63" s="5" t="s">
        <v>366</v>
      </c>
      <c r="AF63" s="5"/>
      <c r="AG63" s="5" t="s">
        <v>367</v>
      </c>
      <c r="AH63" s="5" t="s">
        <v>398</v>
      </c>
    </row>
    <row r="64" spans="1:34" ht="13.5" customHeight="1">
      <c r="A64" s="4" t="s">
        <v>542</v>
      </c>
      <c r="B64" s="4" t="s">
        <v>53</v>
      </c>
      <c r="C64" s="4" t="s">
        <v>54</v>
      </c>
      <c r="D64" s="4" t="s">
        <v>543</v>
      </c>
      <c r="E64" s="4" t="s">
        <v>544</v>
      </c>
      <c r="F64" s="4" t="s">
        <v>57</v>
      </c>
      <c r="G64" s="4" t="s">
        <v>545</v>
      </c>
      <c r="H64" s="4" t="s">
        <v>546</v>
      </c>
      <c r="I64" s="4" t="s">
        <v>547</v>
      </c>
      <c r="J64" s="4" t="s">
        <v>548</v>
      </c>
      <c r="K64" s="4" t="s">
        <v>549</v>
      </c>
      <c r="L64" s="4" t="s">
        <v>550</v>
      </c>
      <c r="M64" s="4" t="s">
        <v>64</v>
      </c>
      <c r="N64" s="4" t="s">
        <v>551</v>
      </c>
      <c r="O64" s="4" t="s">
        <v>552</v>
      </c>
      <c r="P64" s="4" t="s">
        <v>553</v>
      </c>
      <c r="Q64" s="4" t="s">
        <v>68</v>
      </c>
      <c r="R64" s="4" t="s">
        <v>554</v>
      </c>
      <c r="S64" s="4" t="s">
        <v>555</v>
      </c>
      <c r="T64" s="4" t="s">
        <v>71</v>
      </c>
      <c r="U64" s="4" t="s">
        <v>556</v>
      </c>
      <c r="V64" s="4" t="s">
        <v>557</v>
      </c>
      <c r="W64" s="4" t="s">
        <v>74</v>
      </c>
      <c r="X64" s="4" t="s">
        <v>558</v>
      </c>
      <c r="Y64" s="4" t="s">
        <v>559</v>
      </c>
      <c r="Z64" s="4" t="s">
        <v>77</v>
      </c>
      <c r="AA64" s="4" t="s">
        <v>560</v>
      </c>
      <c r="AB64" s="4" t="s">
        <v>561</v>
      </c>
      <c r="AC64" s="4" t="s">
        <v>80</v>
      </c>
      <c r="AD64" s="4" t="s">
        <v>562</v>
      </c>
      <c r="AE64" s="4" t="s">
        <v>563</v>
      </c>
      <c r="AF64" s="4" t="s">
        <v>83</v>
      </c>
      <c r="AG64" s="4" t="s">
        <v>564</v>
      </c>
      <c r="AH64" s="4" t="s">
        <v>565</v>
      </c>
    </row>
    <row r="65" spans="1:34" ht="13.5" hidden="1" customHeight="1">
      <c r="A65" s="5" t="s">
        <v>566</v>
      </c>
      <c r="B65" s="5" t="s">
        <v>87</v>
      </c>
      <c r="C65" s="5" t="s">
        <v>54</v>
      </c>
      <c r="D65" s="5" t="s">
        <v>543</v>
      </c>
      <c r="E65" s="5" t="s">
        <v>544</v>
      </c>
      <c r="F65" s="5" t="s">
        <v>57</v>
      </c>
      <c r="G65" s="5" t="s">
        <v>567</v>
      </c>
      <c r="H65" s="5" t="s">
        <v>568</v>
      </c>
      <c r="I65" s="5" t="s">
        <v>569</v>
      </c>
      <c r="J65" s="5" t="s">
        <v>570</v>
      </c>
      <c r="K65" s="5" t="s">
        <v>571</v>
      </c>
      <c r="L65" s="5" t="s">
        <v>572</v>
      </c>
      <c r="M65" s="5" t="s">
        <v>64</v>
      </c>
      <c r="N65" s="5"/>
      <c r="O65" s="5"/>
      <c r="P65" s="5" t="s">
        <v>553</v>
      </c>
      <c r="Q65" s="5" t="s">
        <v>68</v>
      </c>
      <c r="R65" s="5" t="s">
        <v>573</v>
      </c>
      <c r="S65" s="5" t="s">
        <v>555</v>
      </c>
      <c r="T65" s="5" t="s">
        <v>71</v>
      </c>
      <c r="U65" s="5" t="s">
        <v>574</v>
      </c>
      <c r="V65" s="5" t="s">
        <v>557</v>
      </c>
      <c r="W65" s="5" t="s">
        <v>74</v>
      </c>
      <c r="X65" s="5" t="s">
        <v>575</v>
      </c>
      <c r="Y65" s="5" t="s">
        <v>559</v>
      </c>
      <c r="Z65" s="5" t="s">
        <v>77</v>
      </c>
      <c r="AA65" s="5" t="s">
        <v>576</v>
      </c>
      <c r="AB65" s="5" t="s">
        <v>561</v>
      </c>
      <c r="AC65" s="5" t="s">
        <v>80</v>
      </c>
      <c r="AD65" s="5" t="s">
        <v>577</v>
      </c>
      <c r="AE65" s="5" t="s">
        <v>563</v>
      </c>
      <c r="AF65" s="5" t="s">
        <v>83</v>
      </c>
      <c r="AG65" s="5" t="s">
        <v>578</v>
      </c>
      <c r="AH65" s="5" t="s">
        <v>579</v>
      </c>
    </row>
    <row r="66" spans="1:34" ht="13.5" customHeight="1">
      <c r="A66" s="4" t="s">
        <v>580</v>
      </c>
      <c r="B66" s="4" t="s">
        <v>53</v>
      </c>
      <c r="C66" s="4" t="s">
        <v>54</v>
      </c>
      <c r="D66" s="4" t="s">
        <v>543</v>
      </c>
      <c r="E66" s="4" t="s">
        <v>544</v>
      </c>
      <c r="F66" s="4" t="s">
        <v>57</v>
      </c>
      <c r="G66" s="4" t="s">
        <v>581</v>
      </c>
      <c r="H66" s="4" t="s">
        <v>582</v>
      </c>
      <c r="I66" s="4" t="s">
        <v>547</v>
      </c>
      <c r="J66" s="4" t="s">
        <v>548</v>
      </c>
      <c r="K66" s="4" t="s">
        <v>583</v>
      </c>
      <c r="L66" s="4" t="s">
        <v>550</v>
      </c>
      <c r="M66" s="4" t="s">
        <v>64</v>
      </c>
      <c r="N66" s="4" t="s">
        <v>116</v>
      </c>
      <c r="O66" s="4" t="s">
        <v>584</v>
      </c>
      <c r="P66" s="4" t="s">
        <v>553</v>
      </c>
      <c r="Q66" s="4" t="s">
        <v>68</v>
      </c>
      <c r="R66" s="4" t="s">
        <v>554</v>
      </c>
      <c r="S66" s="4" t="s">
        <v>555</v>
      </c>
      <c r="T66" s="4" t="s">
        <v>71</v>
      </c>
      <c r="U66" s="4" t="s">
        <v>556</v>
      </c>
      <c r="V66" s="4" t="s">
        <v>557</v>
      </c>
      <c r="W66" s="4" t="s">
        <v>74</v>
      </c>
      <c r="X66" s="4" t="s">
        <v>558</v>
      </c>
      <c r="Y66" s="4" t="s">
        <v>559</v>
      </c>
      <c r="Z66" s="4" t="s">
        <v>77</v>
      </c>
      <c r="AA66" s="4" t="s">
        <v>560</v>
      </c>
      <c r="AB66" s="4" t="s">
        <v>561</v>
      </c>
      <c r="AC66" s="4" t="s">
        <v>80</v>
      </c>
      <c r="AD66" s="4" t="s">
        <v>562</v>
      </c>
      <c r="AE66" s="4" t="s">
        <v>563</v>
      </c>
      <c r="AF66" s="4" t="s">
        <v>83</v>
      </c>
      <c r="AG66" s="4" t="s">
        <v>564</v>
      </c>
      <c r="AH66" s="4" t="s">
        <v>565</v>
      </c>
    </row>
    <row r="67" spans="1:34" ht="13.5" customHeight="1">
      <c r="A67" s="5" t="s">
        <v>585</v>
      </c>
      <c r="B67" s="5" t="s">
        <v>53</v>
      </c>
      <c r="C67" s="5" t="s">
        <v>54</v>
      </c>
      <c r="D67" s="5" t="s">
        <v>543</v>
      </c>
      <c r="E67" s="5" t="s">
        <v>544</v>
      </c>
      <c r="F67" s="5" t="s">
        <v>57</v>
      </c>
      <c r="G67" s="5" t="s">
        <v>586</v>
      </c>
      <c r="H67" s="5" t="s">
        <v>587</v>
      </c>
      <c r="I67" s="5" t="s">
        <v>547</v>
      </c>
      <c r="J67" s="5" t="s">
        <v>548</v>
      </c>
      <c r="K67" s="5" t="s">
        <v>588</v>
      </c>
      <c r="L67" s="5" t="s">
        <v>550</v>
      </c>
      <c r="M67" s="5" t="s">
        <v>64</v>
      </c>
      <c r="N67" s="5" t="s">
        <v>116</v>
      </c>
      <c r="O67" s="5" t="s">
        <v>584</v>
      </c>
      <c r="P67" s="5" t="s">
        <v>553</v>
      </c>
      <c r="Q67" s="5" t="s">
        <v>68</v>
      </c>
      <c r="R67" s="5" t="s">
        <v>554</v>
      </c>
      <c r="S67" s="5" t="s">
        <v>555</v>
      </c>
      <c r="T67" s="5" t="s">
        <v>71</v>
      </c>
      <c r="U67" s="5" t="s">
        <v>556</v>
      </c>
      <c r="V67" s="5" t="s">
        <v>557</v>
      </c>
      <c r="W67" s="5" t="s">
        <v>74</v>
      </c>
      <c r="X67" s="5" t="s">
        <v>558</v>
      </c>
      <c r="Y67" s="5" t="s">
        <v>559</v>
      </c>
      <c r="Z67" s="5" t="s">
        <v>77</v>
      </c>
      <c r="AA67" s="5" t="s">
        <v>560</v>
      </c>
      <c r="AB67" s="5" t="s">
        <v>561</v>
      </c>
      <c r="AC67" s="5" t="s">
        <v>80</v>
      </c>
      <c r="AD67" s="5" t="s">
        <v>562</v>
      </c>
      <c r="AE67" s="5" t="s">
        <v>563</v>
      </c>
      <c r="AF67" s="5" t="s">
        <v>83</v>
      </c>
      <c r="AG67" s="5" t="s">
        <v>564</v>
      </c>
      <c r="AH67" s="5" t="s">
        <v>565</v>
      </c>
    </row>
    <row r="68" spans="1:34" ht="13.5" customHeight="1">
      <c r="A68" s="4" t="s">
        <v>589</v>
      </c>
      <c r="B68" s="4" t="s">
        <v>53</v>
      </c>
      <c r="C68" s="4" t="s">
        <v>54</v>
      </c>
      <c r="D68" s="4" t="s">
        <v>543</v>
      </c>
      <c r="E68" s="4" t="s">
        <v>544</v>
      </c>
      <c r="F68" s="4" t="s">
        <v>57</v>
      </c>
      <c r="G68" s="4" t="s">
        <v>590</v>
      </c>
      <c r="H68" s="4" t="s">
        <v>591</v>
      </c>
      <c r="I68" s="4" t="s">
        <v>547</v>
      </c>
      <c r="J68" s="4" t="s">
        <v>548</v>
      </c>
      <c r="K68" s="4" t="s">
        <v>592</v>
      </c>
      <c r="L68" s="4" t="s">
        <v>550</v>
      </c>
      <c r="M68" s="4" t="s">
        <v>64</v>
      </c>
      <c r="N68" s="4" t="s">
        <v>116</v>
      </c>
      <c r="O68" s="4" t="s">
        <v>584</v>
      </c>
      <c r="P68" s="4" t="s">
        <v>553</v>
      </c>
      <c r="Q68" s="4" t="s">
        <v>68</v>
      </c>
      <c r="R68" s="4" t="s">
        <v>554</v>
      </c>
      <c r="S68" s="4" t="s">
        <v>555</v>
      </c>
      <c r="T68" s="4" t="s">
        <v>71</v>
      </c>
      <c r="U68" s="4" t="s">
        <v>556</v>
      </c>
      <c r="V68" s="4" t="s">
        <v>557</v>
      </c>
      <c r="W68" s="4" t="s">
        <v>74</v>
      </c>
      <c r="X68" s="4" t="s">
        <v>558</v>
      </c>
      <c r="Y68" s="4" t="s">
        <v>559</v>
      </c>
      <c r="Z68" s="4" t="s">
        <v>77</v>
      </c>
      <c r="AA68" s="4" t="s">
        <v>560</v>
      </c>
      <c r="AB68" s="4" t="s">
        <v>561</v>
      </c>
      <c r="AC68" s="4" t="s">
        <v>80</v>
      </c>
      <c r="AD68" s="4" t="s">
        <v>562</v>
      </c>
      <c r="AE68" s="4" t="s">
        <v>563</v>
      </c>
      <c r="AF68" s="4" t="s">
        <v>83</v>
      </c>
      <c r="AG68" s="4" t="s">
        <v>564</v>
      </c>
      <c r="AH68" s="4" t="s">
        <v>565</v>
      </c>
    </row>
    <row r="69" spans="1:34" ht="13.5" customHeight="1">
      <c r="A69" s="5" t="s">
        <v>593</v>
      </c>
      <c r="B69" s="5" t="s">
        <v>53</v>
      </c>
      <c r="C69" s="5" t="s">
        <v>54</v>
      </c>
      <c r="D69" s="5" t="s">
        <v>543</v>
      </c>
      <c r="E69" s="5" t="s">
        <v>544</v>
      </c>
      <c r="F69" s="5" t="s">
        <v>57</v>
      </c>
      <c r="G69" s="5" t="s">
        <v>594</v>
      </c>
      <c r="H69" s="5" t="s">
        <v>595</v>
      </c>
      <c r="I69" s="5" t="s">
        <v>547</v>
      </c>
      <c r="J69" s="5" t="s">
        <v>548</v>
      </c>
      <c r="K69" s="5" t="s">
        <v>596</v>
      </c>
      <c r="L69" s="5" t="s">
        <v>550</v>
      </c>
      <c r="M69" s="5" t="s">
        <v>64</v>
      </c>
      <c r="N69" s="5" t="s">
        <v>116</v>
      </c>
      <c r="O69" s="5" t="s">
        <v>584</v>
      </c>
      <c r="P69" s="5" t="s">
        <v>553</v>
      </c>
      <c r="Q69" s="5" t="s">
        <v>68</v>
      </c>
      <c r="R69" s="5" t="s">
        <v>554</v>
      </c>
      <c r="S69" s="5" t="s">
        <v>555</v>
      </c>
      <c r="T69" s="5" t="s">
        <v>71</v>
      </c>
      <c r="U69" s="5" t="s">
        <v>556</v>
      </c>
      <c r="V69" s="5" t="s">
        <v>557</v>
      </c>
      <c r="W69" s="5" t="s">
        <v>74</v>
      </c>
      <c r="X69" s="5" t="s">
        <v>558</v>
      </c>
      <c r="Y69" s="5" t="s">
        <v>559</v>
      </c>
      <c r="Z69" s="5" t="s">
        <v>77</v>
      </c>
      <c r="AA69" s="5" t="s">
        <v>560</v>
      </c>
      <c r="AB69" s="5" t="s">
        <v>561</v>
      </c>
      <c r="AC69" s="5" t="s">
        <v>80</v>
      </c>
      <c r="AD69" s="5" t="s">
        <v>562</v>
      </c>
      <c r="AE69" s="5" t="s">
        <v>563</v>
      </c>
      <c r="AF69" s="5" t="s">
        <v>83</v>
      </c>
      <c r="AG69" s="5" t="s">
        <v>564</v>
      </c>
      <c r="AH69" s="5" t="s">
        <v>565</v>
      </c>
    </row>
    <row r="70" spans="1:34" ht="13.5" customHeight="1">
      <c r="A70" s="4" t="s">
        <v>597</v>
      </c>
      <c r="B70" s="4" t="s">
        <v>53</v>
      </c>
      <c r="C70" s="4" t="s">
        <v>54</v>
      </c>
      <c r="D70" s="4" t="s">
        <v>543</v>
      </c>
      <c r="E70" s="4" t="s">
        <v>598</v>
      </c>
      <c r="F70" s="4" t="s">
        <v>57</v>
      </c>
      <c r="G70" s="4" t="s">
        <v>599</v>
      </c>
      <c r="H70" s="4" t="s">
        <v>600</v>
      </c>
      <c r="I70" s="4" t="s">
        <v>601</v>
      </c>
      <c r="J70" s="4" t="s">
        <v>602</v>
      </c>
      <c r="K70" s="4" t="s">
        <v>603</v>
      </c>
      <c r="L70" s="4" t="s">
        <v>604</v>
      </c>
      <c r="M70" s="4" t="s">
        <v>64</v>
      </c>
      <c r="N70" s="4" t="s">
        <v>116</v>
      </c>
      <c r="O70" s="4" t="s">
        <v>605</v>
      </c>
      <c r="P70" s="4" t="s">
        <v>606</v>
      </c>
      <c r="Q70" s="4" t="s">
        <v>68</v>
      </c>
      <c r="R70" s="4" t="s">
        <v>607</v>
      </c>
      <c r="S70" s="4" t="s">
        <v>608</v>
      </c>
      <c r="T70" s="4" t="s">
        <v>71</v>
      </c>
      <c r="U70" s="4" t="s">
        <v>609</v>
      </c>
      <c r="V70" s="4" t="s">
        <v>610</v>
      </c>
      <c r="W70" s="4" t="s">
        <v>74</v>
      </c>
      <c r="X70" s="4" t="s">
        <v>611</v>
      </c>
      <c r="Y70" s="4" t="s">
        <v>612</v>
      </c>
      <c r="Z70" s="4" t="s">
        <v>77</v>
      </c>
      <c r="AA70" s="4" t="s">
        <v>613</v>
      </c>
      <c r="AB70" s="4" t="s">
        <v>614</v>
      </c>
      <c r="AC70" s="4" t="s">
        <v>80</v>
      </c>
      <c r="AD70" s="4" t="s">
        <v>615</v>
      </c>
      <c r="AE70" s="4" t="s">
        <v>616</v>
      </c>
      <c r="AF70" s="4" t="s">
        <v>83</v>
      </c>
      <c r="AG70" s="4" t="s">
        <v>617</v>
      </c>
      <c r="AH70" s="4" t="s">
        <v>565</v>
      </c>
    </row>
    <row r="71" spans="1:34" ht="13.5" customHeight="1">
      <c r="A71" s="5" t="s">
        <v>618</v>
      </c>
      <c r="B71" s="5" t="s">
        <v>53</v>
      </c>
      <c r="C71" s="5" t="s">
        <v>54</v>
      </c>
      <c r="D71" s="5" t="s">
        <v>543</v>
      </c>
      <c r="E71" s="5" t="s">
        <v>598</v>
      </c>
      <c r="F71" s="5" t="s">
        <v>57</v>
      </c>
      <c r="G71" s="5" t="s">
        <v>619</v>
      </c>
      <c r="H71" s="5" t="s">
        <v>620</v>
      </c>
      <c r="I71" s="5" t="s">
        <v>601</v>
      </c>
      <c r="J71" s="5" t="s">
        <v>602</v>
      </c>
      <c r="K71" s="5" t="s">
        <v>621</v>
      </c>
      <c r="L71" s="5" t="s">
        <v>604</v>
      </c>
      <c r="M71" s="5" t="s">
        <v>64</v>
      </c>
      <c r="N71" s="5" t="s">
        <v>116</v>
      </c>
      <c r="O71" s="5" t="s">
        <v>605</v>
      </c>
      <c r="P71" s="5" t="s">
        <v>606</v>
      </c>
      <c r="Q71" s="5" t="s">
        <v>68</v>
      </c>
      <c r="R71" s="5" t="s">
        <v>607</v>
      </c>
      <c r="S71" s="5" t="s">
        <v>608</v>
      </c>
      <c r="T71" s="5" t="s">
        <v>71</v>
      </c>
      <c r="U71" s="5" t="s">
        <v>609</v>
      </c>
      <c r="V71" s="5" t="s">
        <v>610</v>
      </c>
      <c r="W71" s="5" t="s">
        <v>74</v>
      </c>
      <c r="X71" s="5" t="s">
        <v>611</v>
      </c>
      <c r="Y71" s="5" t="s">
        <v>612</v>
      </c>
      <c r="Z71" s="5" t="s">
        <v>77</v>
      </c>
      <c r="AA71" s="5" t="s">
        <v>613</v>
      </c>
      <c r="AB71" s="5" t="s">
        <v>614</v>
      </c>
      <c r="AC71" s="5" t="s">
        <v>80</v>
      </c>
      <c r="AD71" s="5" t="s">
        <v>615</v>
      </c>
      <c r="AE71" s="5" t="s">
        <v>616</v>
      </c>
      <c r="AF71" s="5" t="s">
        <v>83</v>
      </c>
      <c r="AG71" s="5" t="s">
        <v>617</v>
      </c>
      <c r="AH71" s="5" t="s">
        <v>565</v>
      </c>
    </row>
    <row r="72" spans="1:34" ht="13.5" customHeight="1">
      <c r="A72" s="4" t="s">
        <v>622</v>
      </c>
      <c r="B72" s="4" t="s">
        <v>53</v>
      </c>
      <c r="C72" s="4" t="s">
        <v>54</v>
      </c>
      <c r="D72" s="4" t="s">
        <v>543</v>
      </c>
      <c r="E72" s="4" t="s">
        <v>623</v>
      </c>
      <c r="F72" s="4" t="s">
        <v>57</v>
      </c>
      <c r="G72" s="4" t="s">
        <v>624</v>
      </c>
      <c r="H72" s="4" t="s">
        <v>625</v>
      </c>
      <c r="I72" s="4" t="s">
        <v>626</v>
      </c>
      <c r="J72" s="4" t="s">
        <v>627</v>
      </c>
      <c r="K72" s="4" t="s">
        <v>628</v>
      </c>
      <c r="L72" s="4" t="s">
        <v>629</v>
      </c>
      <c r="M72" s="4" t="s">
        <v>64</v>
      </c>
      <c r="N72" s="4" t="s">
        <v>116</v>
      </c>
      <c r="O72" s="4" t="s">
        <v>630</v>
      </c>
      <c r="P72" s="4" t="s">
        <v>631</v>
      </c>
      <c r="Q72" s="4" t="s">
        <v>68</v>
      </c>
      <c r="R72" s="4" t="s">
        <v>632</v>
      </c>
      <c r="S72" s="4" t="s">
        <v>633</v>
      </c>
      <c r="T72" s="4" t="s">
        <v>71</v>
      </c>
      <c r="U72" s="4" t="s">
        <v>634</v>
      </c>
      <c r="V72" s="4" t="s">
        <v>635</v>
      </c>
      <c r="W72" s="4" t="s">
        <v>74</v>
      </c>
      <c r="X72" s="4" t="s">
        <v>636</v>
      </c>
      <c r="Y72" s="4" t="s">
        <v>637</v>
      </c>
      <c r="Z72" s="4" t="s">
        <v>77</v>
      </c>
      <c r="AA72" s="4" t="s">
        <v>638</v>
      </c>
      <c r="AB72" s="4" t="s">
        <v>639</v>
      </c>
      <c r="AC72" s="4" t="s">
        <v>80</v>
      </c>
      <c r="AD72" s="4" t="s">
        <v>640</v>
      </c>
      <c r="AE72" s="4" t="s">
        <v>641</v>
      </c>
      <c r="AF72" s="4" t="s">
        <v>83</v>
      </c>
      <c r="AG72" s="4" t="s">
        <v>642</v>
      </c>
      <c r="AH72" s="4" t="s">
        <v>565</v>
      </c>
    </row>
    <row r="73" spans="1:34" ht="13.5" hidden="1" customHeight="1">
      <c r="A73" s="5" t="s">
        <v>643</v>
      </c>
      <c r="B73" s="5" t="s">
        <v>87</v>
      </c>
      <c r="C73" s="5" t="s">
        <v>54</v>
      </c>
      <c r="D73" s="5" t="s">
        <v>543</v>
      </c>
      <c r="E73" s="5" t="s">
        <v>623</v>
      </c>
      <c r="F73" s="5" t="s">
        <v>57</v>
      </c>
      <c r="G73" s="5" t="s">
        <v>644</v>
      </c>
      <c r="H73" s="5" t="s">
        <v>645</v>
      </c>
      <c r="I73" s="5" t="s">
        <v>646</v>
      </c>
      <c r="J73" s="5" t="s">
        <v>647</v>
      </c>
      <c r="K73" s="5" t="s">
        <v>648</v>
      </c>
      <c r="L73" s="5" t="s">
        <v>649</v>
      </c>
      <c r="M73" s="5" t="s">
        <v>64</v>
      </c>
      <c r="N73" s="5"/>
      <c r="O73" s="5"/>
      <c r="P73" s="5" t="s">
        <v>631</v>
      </c>
      <c r="Q73" s="5" t="s">
        <v>68</v>
      </c>
      <c r="R73" s="5" t="s">
        <v>650</v>
      </c>
      <c r="S73" s="5" t="s">
        <v>633</v>
      </c>
      <c r="T73" s="5" t="s">
        <v>71</v>
      </c>
      <c r="U73" s="5" t="s">
        <v>651</v>
      </c>
      <c r="V73" s="5" t="s">
        <v>635</v>
      </c>
      <c r="W73" s="5" t="s">
        <v>74</v>
      </c>
      <c r="X73" s="5" t="s">
        <v>652</v>
      </c>
      <c r="Y73" s="5" t="s">
        <v>637</v>
      </c>
      <c r="Z73" s="5" t="s">
        <v>77</v>
      </c>
      <c r="AA73" s="5" t="s">
        <v>653</v>
      </c>
      <c r="AB73" s="5" t="s">
        <v>639</v>
      </c>
      <c r="AC73" s="5" t="s">
        <v>80</v>
      </c>
      <c r="AD73" s="5" t="s">
        <v>654</v>
      </c>
      <c r="AE73" s="5" t="s">
        <v>641</v>
      </c>
      <c r="AF73" s="5" t="s">
        <v>83</v>
      </c>
      <c r="AG73" s="5" t="s">
        <v>655</v>
      </c>
      <c r="AH73" s="5" t="s">
        <v>579</v>
      </c>
    </row>
    <row r="74" spans="1:34" ht="13.5" customHeight="1">
      <c r="A74" s="4" t="s">
        <v>656</v>
      </c>
      <c r="B74" s="4" t="s">
        <v>53</v>
      </c>
      <c r="C74" s="4" t="s">
        <v>54</v>
      </c>
      <c r="D74" s="4" t="s">
        <v>543</v>
      </c>
      <c r="E74" s="4" t="s">
        <v>623</v>
      </c>
      <c r="F74" s="4" t="s">
        <v>57</v>
      </c>
      <c r="G74" s="4" t="s">
        <v>657</v>
      </c>
      <c r="H74" s="4" t="s">
        <v>658</v>
      </c>
      <c r="I74" s="4" t="s">
        <v>626</v>
      </c>
      <c r="J74" s="4" t="s">
        <v>627</v>
      </c>
      <c r="K74" s="4" t="s">
        <v>659</v>
      </c>
      <c r="L74" s="4" t="s">
        <v>629</v>
      </c>
      <c r="M74" s="4" t="s">
        <v>64</v>
      </c>
      <c r="N74" s="4" t="s">
        <v>551</v>
      </c>
      <c r="O74" s="4" t="s">
        <v>630</v>
      </c>
      <c r="P74" s="4" t="s">
        <v>631</v>
      </c>
      <c r="Q74" s="4" t="s">
        <v>68</v>
      </c>
      <c r="R74" s="4" t="s">
        <v>632</v>
      </c>
      <c r="S74" s="4" t="s">
        <v>633</v>
      </c>
      <c r="T74" s="4" t="s">
        <v>71</v>
      </c>
      <c r="U74" s="4" t="s">
        <v>634</v>
      </c>
      <c r="V74" s="4" t="s">
        <v>635</v>
      </c>
      <c r="W74" s="4" t="s">
        <v>74</v>
      </c>
      <c r="X74" s="4" t="s">
        <v>636</v>
      </c>
      <c r="Y74" s="4" t="s">
        <v>637</v>
      </c>
      <c r="Z74" s="4" t="s">
        <v>77</v>
      </c>
      <c r="AA74" s="4" t="s">
        <v>638</v>
      </c>
      <c r="AB74" s="4" t="s">
        <v>639</v>
      </c>
      <c r="AC74" s="4" t="s">
        <v>80</v>
      </c>
      <c r="AD74" s="4" t="s">
        <v>640</v>
      </c>
      <c r="AE74" s="4" t="s">
        <v>641</v>
      </c>
      <c r="AF74" s="4" t="s">
        <v>83</v>
      </c>
      <c r="AG74" s="4" t="s">
        <v>642</v>
      </c>
      <c r="AH74" s="4" t="s">
        <v>565</v>
      </c>
    </row>
    <row r="75" spans="1:34" ht="13.5" customHeight="1">
      <c r="A75" s="5" t="s">
        <v>660</v>
      </c>
      <c r="B75" s="5" t="s">
        <v>53</v>
      </c>
      <c r="C75" s="5" t="s">
        <v>54</v>
      </c>
      <c r="D75" s="5" t="s">
        <v>543</v>
      </c>
      <c r="E75" s="5" t="s">
        <v>623</v>
      </c>
      <c r="F75" s="5" t="s">
        <v>57</v>
      </c>
      <c r="G75" s="5" t="s">
        <v>661</v>
      </c>
      <c r="H75" s="5" t="s">
        <v>662</v>
      </c>
      <c r="I75" s="5" t="s">
        <v>626</v>
      </c>
      <c r="J75" s="5" t="s">
        <v>627</v>
      </c>
      <c r="K75" s="5" t="s">
        <v>663</v>
      </c>
      <c r="L75" s="5" t="s">
        <v>629</v>
      </c>
      <c r="M75" s="5" t="s">
        <v>64</v>
      </c>
      <c r="N75" s="5" t="s">
        <v>116</v>
      </c>
      <c r="O75" s="5" t="s">
        <v>630</v>
      </c>
      <c r="P75" s="5" t="s">
        <v>631</v>
      </c>
      <c r="Q75" s="5" t="s">
        <v>68</v>
      </c>
      <c r="R75" s="5" t="s">
        <v>632</v>
      </c>
      <c r="S75" s="5" t="s">
        <v>633</v>
      </c>
      <c r="T75" s="5" t="s">
        <v>71</v>
      </c>
      <c r="U75" s="5" t="s">
        <v>634</v>
      </c>
      <c r="V75" s="5" t="s">
        <v>635</v>
      </c>
      <c r="W75" s="5" t="s">
        <v>74</v>
      </c>
      <c r="X75" s="5" t="s">
        <v>636</v>
      </c>
      <c r="Y75" s="5" t="s">
        <v>637</v>
      </c>
      <c r="Z75" s="5" t="s">
        <v>77</v>
      </c>
      <c r="AA75" s="5" t="s">
        <v>638</v>
      </c>
      <c r="AB75" s="5" t="s">
        <v>639</v>
      </c>
      <c r="AC75" s="5" t="s">
        <v>80</v>
      </c>
      <c r="AD75" s="5" t="s">
        <v>640</v>
      </c>
      <c r="AE75" s="5" t="s">
        <v>641</v>
      </c>
      <c r="AF75" s="5" t="s">
        <v>83</v>
      </c>
      <c r="AG75" s="5" t="s">
        <v>642</v>
      </c>
      <c r="AH75" s="5" t="s">
        <v>565</v>
      </c>
    </row>
    <row r="76" spans="1:34" ht="13.5" customHeight="1">
      <c r="A76" s="4" t="s">
        <v>664</v>
      </c>
      <c r="B76" s="4" t="s">
        <v>53</v>
      </c>
      <c r="C76" s="4" t="s">
        <v>54</v>
      </c>
      <c r="D76" s="4" t="s">
        <v>543</v>
      </c>
      <c r="E76" s="4" t="s">
        <v>623</v>
      </c>
      <c r="F76" s="4" t="s">
        <v>57</v>
      </c>
      <c r="G76" s="4" t="s">
        <v>665</v>
      </c>
      <c r="H76" s="4" t="s">
        <v>666</v>
      </c>
      <c r="I76" s="4" t="s">
        <v>626</v>
      </c>
      <c r="J76" s="4" t="s">
        <v>627</v>
      </c>
      <c r="K76" s="4" t="s">
        <v>667</v>
      </c>
      <c r="L76" s="4" t="s">
        <v>629</v>
      </c>
      <c r="M76" s="4" t="s">
        <v>64</v>
      </c>
      <c r="N76" s="4" t="s">
        <v>116</v>
      </c>
      <c r="O76" s="4" t="s">
        <v>630</v>
      </c>
      <c r="P76" s="4" t="s">
        <v>631</v>
      </c>
      <c r="Q76" s="4" t="s">
        <v>68</v>
      </c>
      <c r="R76" s="4" t="s">
        <v>632</v>
      </c>
      <c r="S76" s="4" t="s">
        <v>633</v>
      </c>
      <c r="T76" s="4" t="s">
        <v>71</v>
      </c>
      <c r="U76" s="4" t="s">
        <v>634</v>
      </c>
      <c r="V76" s="4" t="s">
        <v>635</v>
      </c>
      <c r="W76" s="4" t="s">
        <v>74</v>
      </c>
      <c r="X76" s="4" t="s">
        <v>636</v>
      </c>
      <c r="Y76" s="4" t="s">
        <v>637</v>
      </c>
      <c r="Z76" s="4" t="s">
        <v>77</v>
      </c>
      <c r="AA76" s="4" t="s">
        <v>638</v>
      </c>
      <c r="AB76" s="4" t="s">
        <v>639</v>
      </c>
      <c r="AC76" s="4" t="s">
        <v>80</v>
      </c>
      <c r="AD76" s="4" t="s">
        <v>640</v>
      </c>
      <c r="AE76" s="4" t="s">
        <v>641</v>
      </c>
      <c r="AF76" s="4" t="s">
        <v>83</v>
      </c>
      <c r="AG76" s="4" t="s">
        <v>642</v>
      </c>
      <c r="AH76" s="4" t="s">
        <v>565</v>
      </c>
    </row>
    <row r="77" spans="1:34" ht="13.5" customHeight="1">
      <c r="A77" s="5" t="s">
        <v>668</v>
      </c>
      <c r="B77" s="5" t="s">
        <v>53</v>
      </c>
      <c r="C77" s="5" t="s">
        <v>54</v>
      </c>
      <c r="D77" s="5" t="s">
        <v>543</v>
      </c>
      <c r="E77" s="5" t="s">
        <v>669</v>
      </c>
      <c r="F77" s="5" t="s">
        <v>57</v>
      </c>
      <c r="G77" s="5" t="s">
        <v>670</v>
      </c>
      <c r="H77" s="5" t="s">
        <v>671</v>
      </c>
      <c r="I77" s="5" t="s">
        <v>672</v>
      </c>
      <c r="J77" s="5" t="s">
        <v>673</v>
      </c>
      <c r="K77" s="5" t="s">
        <v>674</v>
      </c>
      <c r="L77" s="5" t="s">
        <v>675</v>
      </c>
      <c r="M77" s="5" t="s">
        <v>64</v>
      </c>
      <c r="N77" s="5" t="s">
        <v>116</v>
      </c>
      <c r="O77" s="5" t="s">
        <v>630</v>
      </c>
      <c r="P77" s="5" t="s">
        <v>676</v>
      </c>
      <c r="Q77" s="5" t="s">
        <v>68</v>
      </c>
      <c r="R77" s="5" t="s">
        <v>677</v>
      </c>
      <c r="S77" s="5" t="s">
        <v>678</v>
      </c>
      <c r="T77" s="5" t="s">
        <v>71</v>
      </c>
      <c r="U77" s="5" t="s">
        <v>679</v>
      </c>
      <c r="V77" s="5" t="s">
        <v>680</v>
      </c>
      <c r="W77" s="5" t="s">
        <v>74</v>
      </c>
      <c r="X77" s="5" t="s">
        <v>681</v>
      </c>
      <c r="Y77" s="5" t="s">
        <v>682</v>
      </c>
      <c r="Z77" s="5" t="s">
        <v>77</v>
      </c>
      <c r="AA77" s="5" t="s">
        <v>683</v>
      </c>
      <c r="AB77" s="5" t="s">
        <v>684</v>
      </c>
      <c r="AC77" s="5" t="s">
        <v>80</v>
      </c>
      <c r="AD77" s="5" t="s">
        <v>685</v>
      </c>
      <c r="AE77" s="5" t="s">
        <v>686</v>
      </c>
      <c r="AF77" s="5" t="s">
        <v>83</v>
      </c>
      <c r="AG77" s="5" t="s">
        <v>687</v>
      </c>
      <c r="AH77" s="5" t="s">
        <v>565</v>
      </c>
    </row>
    <row r="78" spans="1:34" ht="13.5" customHeight="1">
      <c r="A78" s="4" t="s">
        <v>688</v>
      </c>
      <c r="B78" s="4" t="s">
        <v>53</v>
      </c>
      <c r="C78" s="4" t="s">
        <v>54</v>
      </c>
      <c r="D78" s="4" t="s">
        <v>543</v>
      </c>
      <c r="E78" s="4" t="s">
        <v>669</v>
      </c>
      <c r="F78" s="4" t="s">
        <v>57</v>
      </c>
      <c r="G78" s="4" t="s">
        <v>689</v>
      </c>
      <c r="H78" s="4" t="s">
        <v>690</v>
      </c>
      <c r="I78" s="4" t="s">
        <v>672</v>
      </c>
      <c r="J78" s="4" t="s">
        <v>673</v>
      </c>
      <c r="K78" s="4" t="s">
        <v>691</v>
      </c>
      <c r="L78" s="4" t="s">
        <v>675</v>
      </c>
      <c r="M78" s="4" t="s">
        <v>64</v>
      </c>
      <c r="N78" s="4" t="s">
        <v>116</v>
      </c>
      <c r="O78" s="4" t="s">
        <v>630</v>
      </c>
      <c r="P78" s="4" t="s">
        <v>676</v>
      </c>
      <c r="Q78" s="4" t="s">
        <v>68</v>
      </c>
      <c r="R78" s="4" t="s">
        <v>677</v>
      </c>
      <c r="S78" s="4" t="s">
        <v>678</v>
      </c>
      <c r="T78" s="4" t="s">
        <v>71</v>
      </c>
      <c r="U78" s="4" t="s">
        <v>679</v>
      </c>
      <c r="V78" s="4" t="s">
        <v>680</v>
      </c>
      <c r="W78" s="4" t="s">
        <v>74</v>
      </c>
      <c r="X78" s="4" t="s">
        <v>681</v>
      </c>
      <c r="Y78" s="4" t="s">
        <v>682</v>
      </c>
      <c r="Z78" s="4" t="s">
        <v>77</v>
      </c>
      <c r="AA78" s="4" t="s">
        <v>683</v>
      </c>
      <c r="AB78" s="4" t="s">
        <v>684</v>
      </c>
      <c r="AC78" s="4" t="s">
        <v>80</v>
      </c>
      <c r="AD78" s="4" t="s">
        <v>685</v>
      </c>
      <c r="AE78" s="4" t="s">
        <v>686</v>
      </c>
      <c r="AF78" s="4" t="s">
        <v>83</v>
      </c>
      <c r="AG78" s="4" t="s">
        <v>687</v>
      </c>
      <c r="AH78" s="4" t="s">
        <v>565</v>
      </c>
    </row>
    <row r="79" spans="1:34" ht="13.5" customHeight="1">
      <c r="A79" s="5" t="s">
        <v>692</v>
      </c>
      <c r="B79" s="5" t="s">
        <v>53</v>
      </c>
      <c r="C79" s="5" t="s">
        <v>54</v>
      </c>
      <c r="D79" s="5" t="s">
        <v>543</v>
      </c>
      <c r="E79" s="5" t="s">
        <v>669</v>
      </c>
      <c r="F79" s="5" t="s">
        <v>57</v>
      </c>
      <c r="G79" s="5" t="s">
        <v>693</v>
      </c>
      <c r="H79" s="5" t="s">
        <v>694</v>
      </c>
      <c r="I79" s="5" t="s">
        <v>672</v>
      </c>
      <c r="J79" s="5" t="s">
        <v>673</v>
      </c>
      <c r="K79" s="5" t="s">
        <v>695</v>
      </c>
      <c r="L79" s="5" t="s">
        <v>675</v>
      </c>
      <c r="M79" s="5" t="s">
        <v>64</v>
      </c>
      <c r="N79" s="5" t="s">
        <v>116</v>
      </c>
      <c r="O79" s="5" t="s">
        <v>630</v>
      </c>
      <c r="P79" s="5" t="s">
        <v>676</v>
      </c>
      <c r="Q79" s="5" t="s">
        <v>68</v>
      </c>
      <c r="R79" s="5" t="s">
        <v>677</v>
      </c>
      <c r="S79" s="5" t="s">
        <v>678</v>
      </c>
      <c r="T79" s="5" t="s">
        <v>71</v>
      </c>
      <c r="U79" s="5" t="s">
        <v>679</v>
      </c>
      <c r="V79" s="5" t="s">
        <v>680</v>
      </c>
      <c r="W79" s="5" t="s">
        <v>74</v>
      </c>
      <c r="X79" s="5" t="s">
        <v>681</v>
      </c>
      <c r="Y79" s="5" t="s">
        <v>682</v>
      </c>
      <c r="Z79" s="5" t="s">
        <v>77</v>
      </c>
      <c r="AA79" s="5" t="s">
        <v>683</v>
      </c>
      <c r="AB79" s="5" t="s">
        <v>684</v>
      </c>
      <c r="AC79" s="5" t="s">
        <v>80</v>
      </c>
      <c r="AD79" s="5" t="s">
        <v>685</v>
      </c>
      <c r="AE79" s="5" t="s">
        <v>686</v>
      </c>
      <c r="AF79" s="5" t="s">
        <v>83</v>
      </c>
      <c r="AG79" s="5" t="s">
        <v>687</v>
      </c>
      <c r="AH79" s="5" t="s">
        <v>565</v>
      </c>
    </row>
    <row r="80" spans="1:34" ht="13.5" customHeight="1">
      <c r="A80" s="4" t="s">
        <v>696</v>
      </c>
      <c r="B80" s="4" t="s">
        <v>53</v>
      </c>
      <c r="C80" s="4" t="s">
        <v>54</v>
      </c>
      <c r="D80" s="4" t="s">
        <v>697</v>
      </c>
      <c r="E80" s="4" t="s">
        <v>698</v>
      </c>
      <c r="F80" s="4" t="s">
        <v>699</v>
      </c>
      <c r="G80" s="4" t="s">
        <v>700</v>
      </c>
      <c r="H80" s="4" t="s">
        <v>701</v>
      </c>
      <c r="I80" s="4" t="s">
        <v>702</v>
      </c>
      <c r="J80" s="4" t="s">
        <v>703</v>
      </c>
      <c r="K80" s="4" t="s">
        <v>704</v>
      </c>
      <c r="L80" s="4" t="s">
        <v>705</v>
      </c>
      <c r="M80" s="4" t="s">
        <v>94</v>
      </c>
      <c r="N80" s="4" t="s">
        <v>116</v>
      </c>
      <c r="O80" s="4" t="s">
        <v>706</v>
      </c>
      <c r="P80" s="4" t="s">
        <v>366</v>
      </c>
      <c r="Q80" s="4"/>
      <c r="R80" s="4" t="s">
        <v>707</v>
      </c>
      <c r="S80" s="4" t="s">
        <v>366</v>
      </c>
      <c r="T80" s="4"/>
      <c r="U80" s="4" t="s">
        <v>708</v>
      </c>
      <c r="V80" s="4" t="s">
        <v>366</v>
      </c>
      <c r="W80" s="4"/>
      <c r="X80" s="4" t="s">
        <v>709</v>
      </c>
      <c r="Y80" s="4" t="s">
        <v>366</v>
      </c>
      <c r="Z80" s="4"/>
      <c r="AA80" s="4" t="s">
        <v>710</v>
      </c>
      <c r="AB80" s="4" t="s">
        <v>366</v>
      </c>
      <c r="AC80" s="4"/>
      <c r="AD80" s="4" t="s">
        <v>711</v>
      </c>
      <c r="AE80" s="4" t="s">
        <v>366</v>
      </c>
      <c r="AF80" s="4"/>
      <c r="AG80" s="4" t="s">
        <v>712</v>
      </c>
      <c r="AH80" s="4" t="s">
        <v>713</v>
      </c>
    </row>
    <row r="81" spans="1:34" ht="13.5" customHeight="1">
      <c r="A81" s="5" t="s">
        <v>714</v>
      </c>
      <c r="B81" s="5" t="s">
        <v>53</v>
      </c>
      <c r="C81" s="5" t="s">
        <v>54</v>
      </c>
      <c r="D81" s="5" t="s">
        <v>697</v>
      </c>
      <c r="E81" s="5" t="s">
        <v>698</v>
      </c>
      <c r="F81" s="5" t="s">
        <v>699</v>
      </c>
      <c r="G81" s="5" t="s">
        <v>715</v>
      </c>
      <c r="H81" s="5" t="s">
        <v>716</v>
      </c>
      <c r="I81" s="5" t="s">
        <v>702</v>
      </c>
      <c r="J81" s="5" t="s">
        <v>703</v>
      </c>
      <c r="K81" s="5" t="s">
        <v>717</v>
      </c>
      <c r="L81" s="5" t="s">
        <v>705</v>
      </c>
      <c r="M81" s="5" t="s">
        <v>94</v>
      </c>
      <c r="N81" s="5" t="s">
        <v>116</v>
      </c>
      <c r="O81" s="5" t="s">
        <v>718</v>
      </c>
      <c r="P81" s="5" t="s">
        <v>366</v>
      </c>
      <c r="Q81" s="5"/>
      <c r="R81" s="5" t="s">
        <v>707</v>
      </c>
      <c r="S81" s="5" t="s">
        <v>366</v>
      </c>
      <c r="T81" s="5"/>
      <c r="U81" s="5" t="s">
        <v>708</v>
      </c>
      <c r="V81" s="5" t="s">
        <v>366</v>
      </c>
      <c r="W81" s="5"/>
      <c r="X81" s="5" t="s">
        <v>709</v>
      </c>
      <c r="Y81" s="5" t="s">
        <v>366</v>
      </c>
      <c r="Z81" s="5"/>
      <c r="AA81" s="5" t="s">
        <v>710</v>
      </c>
      <c r="AB81" s="5" t="s">
        <v>366</v>
      </c>
      <c r="AC81" s="5"/>
      <c r="AD81" s="5" t="s">
        <v>711</v>
      </c>
      <c r="AE81" s="5" t="s">
        <v>366</v>
      </c>
      <c r="AF81" s="5"/>
      <c r="AG81" s="5" t="s">
        <v>712</v>
      </c>
      <c r="AH81" s="5" t="s">
        <v>713</v>
      </c>
    </row>
    <row r="82" spans="1:34" ht="13.5" customHeight="1">
      <c r="A82" s="4" t="s">
        <v>719</v>
      </c>
      <c r="B82" s="4" t="s">
        <v>53</v>
      </c>
      <c r="C82" s="4" t="s">
        <v>54</v>
      </c>
      <c r="D82" s="4" t="s">
        <v>697</v>
      </c>
      <c r="E82" s="4" t="s">
        <v>698</v>
      </c>
      <c r="F82" s="4" t="s">
        <v>699</v>
      </c>
      <c r="G82" s="4" t="s">
        <v>720</v>
      </c>
      <c r="H82" s="4" t="s">
        <v>721</v>
      </c>
      <c r="I82" s="4" t="s">
        <v>702</v>
      </c>
      <c r="J82" s="4" t="s">
        <v>703</v>
      </c>
      <c r="K82" s="4" t="s">
        <v>722</v>
      </c>
      <c r="L82" s="4" t="s">
        <v>705</v>
      </c>
      <c r="M82" s="4" t="s">
        <v>94</v>
      </c>
      <c r="N82" s="4" t="s">
        <v>116</v>
      </c>
      <c r="O82" s="4" t="s">
        <v>718</v>
      </c>
      <c r="P82" s="4" t="s">
        <v>366</v>
      </c>
      <c r="Q82" s="4"/>
      <c r="R82" s="4" t="s">
        <v>707</v>
      </c>
      <c r="S82" s="4" t="s">
        <v>366</v>
      </c>
      <c r="T82" s="4"/>
      <c r="U82" s="4" t="s">
        <v>708</v>
      </c>
      <c r="V82" s="4" t="s">
        <v>366</v>
      </c>
      <c r="W82" s="4"/>
      <c r="X82" s="4" t="s">
        <v>709</v>
      </c>
      <c r="Y82" s="4" t="s">
        <v>366</v>
      </c>
      <c r="Z82" s="4"/>
      <c r="AA82" s="4" t="s">
        <v>710</v>
      </c>
      <c r="AB82" s="4" t="s">
        <v>366</v>
      </c>
      <c r="AC82" s="4"/>
      <c r="AD82" s="4" t="s">
        <v>711</v>
      </c>
      <c r="AE82" s="4" t="s">
        <v>366</v>
      </c>
      <c r="AF82" s="4"/>
      <c r="AG82" s="4" t="s">
        <v>712</v>
      </c>
      <c r="AH82" s="4" t="s">
        <v>713</v>
      </c>
    </row>
    <row r="83" spans="1:34" ht="13.5" customHeight="1">
      <c r="A83" s="5" t="s">
        <v>723</v>
      </c>
      <c r="B83" s="5" t="s">
        <v>53</v>
      </c>
      <c r="C83" s="5" t="s">
        <v>54</v>
      </c>
      <c r="D83" s="5" t="s">
        <v>697</v>
      </c>
      <c r="E83" s="5" t="s">
        <v>698</v>
      </c>
      <c r="F83" s="5" t="s">
        <v>699</v>
      </c>
      <c r="G83" s="5" t="s">
        <v>724</v>
      </c>
      <c r="H83" s="5" t="s">
        <v>725</v>
      </c>
      <c r="I83" s="5" t="s">
        <v>702</v>
      </c>
      <c r="J83" s="5" t="s">
        <v>703</v>
      </c>
      <c r="K83" s="5" t="s">
        <v>726</v>
      </c>
      <c r="L83" s="5" t="s">
        <v>705</v>
      </c>
      <c r="M83" s="5" t="s">
        <v>94</v>
      </c>
      <c r="N83" s="5" t="s">
        <v>116</v>
      </c>
      <c r="O83" s="5" t="s">
        <v>718</v>
      </c>
      <c r="P83" s="5" t="s">
        <v>366</v>
      </c>
      <c r="Q83" s="5"/>
      <c r="R83" s="5" t="s">
        <v>707</v>
      </c>
      <c r="S83" s="5" t="s">
        <v>366</v>
      </c>
      <c r="T83" s="5"/>
      <c r="U83" s="5" t="s">
        <v>708</v>
      </c>
      <c r="V83" s="5" t="s">
        <v>366</v>
      </c>
      <c r="W83" s="5"/>
      <c r="X83" s="5" t="s">
        <v>709</v>
      </c>
      <c r="Y83" s="5" t="s">
        <v>366</v>
      </c>
      <c r="Z83" s="5"/>
      <c r="AA83" s="5" t="s">
        <v>710</v>
      </c>
      <c r="AB83" s="5" t="s">
        <v>366</v>
      </c>
      <c r="AC83" s="5"/>
      <c r="AD83" s="5" t="s">
        <v>711</v>
      </c>
      <c r="AE83" s="5" t="s">
        <v>366</v>
      </c>
      <c r="AF83" s="5"/>
      <c r="AG83" s="5" t="s">
        <v>712</v>
      </c>
      <c r="AH83" s="5" t="s">
        <v>713</v>
      </c>
    </row>
    <row r="84" spans="1:34" ht="13.5" customHeight="1">
      <c r="A84" s="4" t="s">
        <v>727</v>
      </c>
      <c r="B84" s="4" t="s">
        <v>53</v>
      </c>
      <c r="C84" s="4" t="s">
        <v>54</v>
      </c>
      <c r="D84" s="4" t="s">
        <v>697</v>
      </c>
      <c r="E84" s="4" t="s">
        <v>698</v>
      </c>
      <c r="F84" s="4" t="s">
        <v>699</v>
      </c>
      <c r="G84" s="4" t="s">
        <v>728</v>
      </c>
      <c r="H84" s="4" t="s">
        <v>729</v>
      </c>
      <c r="I84" s="4" t="s">
        <v>702</v>
      </c>
      <c r="J84" s="4" t="s">
        <v>703</v>
      </c>
      <c r="K84" s="4" t="s">
        <v>730</v>
      </c>
      <c r="L84" s="4" t="s">
        <v>705</v>
      </c>
      <c r="M84" s="4" t="s">
        <v>94</v>
      </c>
      <c r="N84" s="4" t="s">
        <v>116</v>
      </c>
      <c r="O84" s="4" t="s">
        <v>718</v>
      </c>
      <c r="P84" s="4" t="s">
        <v>366</v>
      </c>
      <c r="Q84" s="4"/>
      <c r="R84" s="4" t="s">
        <v>707</v>
      </c>
      <c r="S84" s="4" t="s">
        <v>366</v>
      </c>
      <c r="T84" s="4"/>
      <c r="U84" s="4" t="s">
        <v>708</v>
      </c>
      <c r="V84" s="4" t="s">
        <v>366</v>
      </c>
      <c r="W84" s="4"/>
      <c r="X84" s="4" t="s">
        <v>709</v>
      </c>
      <c r="Y84" s="4" t="s">
        <v>366</v>
      </c>
      <c r="Z84" s="4"/>
      <c r="AA84" s="4" t="s">
        <v>710</v>
      </c>
      <c r="AB84" s="4" t="s">
        <v>366</v>
      </c>
      <c r="AC84" s="4"/>
      <c r="AD84" s="4" t="s">
        <v>711</v>
      </c>
      <c r="AE84" s="4" t="s">
        <v>366</v>
      </c>
      <c r="AF84" s="4"/>
      <c r="AG84" s="4" t="s">
        <v>712</v>
      </c>
      <c r="AH84" s="4" t="s">
        <v>713</v>
      </c>
    </row>
    <row r="85" spans="1:34" ht="13.5" customHeight="1">
      <c r="A85" s="5" t="s">
        <v>731</v>
      </c>
      <c r="B85" s="5" t="s">
        <v>53</v>
      </c>
      <c r="C85" s="5" t="s">
        <v>54</v>
      </c>
      <c r="D85" s="5" t="s">
        <v>697</v>
      </c>
      <c r="E85" s="5" t="s">
        <v>698</v>
      </c>
      <c r="F85" s="5" t="s">
        <v>699</v>
      </c>
      <c r="G85" s="5" t="s">
        <v>732</v>
      </c>
      <c r="H85" s="5" t="s">
        <v>733</v>
      </c>
      <c r="I85" s="5" t="s">
        <v>702</v>
      </c>
      <c r="J85" s="5" t="s">
        <v>703</v>
      </c>
      <c r="K85" s="5" t="s">
        <v>734</v>
      </c>
      <c r="L85" s="5" t="s">
        <v>705</v>
      </c>
      <c r="M85" s="5" t="s">
        <v>94</v>
      </c>
      <c r="N85" s="5" t="s">
        <v>116</v>
      </c>
      <c r="O85" s="5" t="s">
        <v>718</v>
      </c>
      <c r="P85" s="5" t="s">
        <v>366</v>
      </c>
      <c r="Q85" s="5"/>
      <c r="R85" s="5" t="s">
        <v>707</v>
      </c>
      <c r="S85" s="5" t="s">
        <v>366</v>
      </c>
      <c r="T85" s="5"/>
      <c r="U85" s="5" t="s">
        <v>708</v>
      </c>
      <c r="V85" s="5" t="s">
        <v>366</v>
      </c>
      <c r="W85" s="5"/>
      <c r="X85" s="5" t="s">
        <v>709</v>
      </c>
      <c r="Y85" s="5" t="s">
        <v>366</v>
      </c>
      <c r="Z85" s="5"/>
      <c r="AA85" s="5" t="s">
        <v>710</v>
      </c>
      <c r="AB85" s="5" t="s">
        <v>366</v>
      </c>
      <c r="AC85" s="5"/>
      <c r="AD85" s="5" t="s">
        <v>711</v>
      </c>
      <c r="AE85" s="5" t="s">
        <v>366</v>
      </c>
      <c r="AF85" s="5"/>
      <c r="AG85" s="5" t="s">
        <v>712</v>
      </c>
      <c r="AH85" s="5" t="s">
        <v>713</v>
      </c>
    </row>
    <row r="86" spans="1:34" ht="13.5" customHeight="1">
      <c r="A86" s="4" t="s">
        <v>735</v>
      </c>
      <c r="B86" s="4" t="s">
        <v>53</v>
      </c>
      <c r="C86" s="4" t="s">
        <v>54</v>
      </c>
      <c r="D86" s="4" t="s">
        <v>697</v>
      </c>
      <c r="E86" s="4" t="s">
        <v>698</v>
      </c>
      <c r="F86" s="4" t="s">
        <v>699</v>
      </c>
      <c r="G86" s="4" t="s">
        <v>736</v>
      </c>
      <c r="H86" s="4" t="s">
        <v>737</v>
      </c>
      <c r="I86" s="4"/>
      <c r="J86" s="4" t="s">
        <v>738</v>
      </c>
      <c r="K86" s="4" t="s">
        <v>739</v>
      </c>
      <c r="L86" s="4" t="s">
        <v>740</v>
      </c>
      <c r="M86" s="4" t="s">
        <v>94</v>
      </c>
      <c r="N86" s="4" t="s">
        <v>116</v>
      </c>
      <c r="O86" s="4" t="s">
        <v>706</v>
      </c>
      <c r="P86" s="4" t="s">
        <v>366</v>
      </c>
      <c r="Q86" s="4"/>
      <c r="R86" s="4" t="s">
        <v>707</v>
      </c>
      <c r="S86" s="4" t="s">
        <v>366</v>
      </c>
      <c r="T86" s="4"/>
      <c r="U86" s="4" t="s">
        <v>708</v>
      </c>
      <c r="V86" s="4" t="s">
        <v>366</v>
      </c>
      <c r="W86" s="4"/>
      <c r="X86" s="4" t="s">
        <v>709</v>
      </c>
      <c r="Y86" s="4" t="s">
        <v>366</v>
      </c>
      <c r="Z86" s="4"/>
      <c r="AA86" s="4" t="s">
        <v>710</v>
      </c>
      <c r="AB86" s="4" t="s">
        <v>366</v>
      </c>
      <c r="AC86" s="4"/>
      <c r="AD86" s="4" t="s">
        <v>711</v>
      </c>
      <c r="AE86" s="4" t="s">
        <v>366</v>
      </c>
      <c r="AF86" s="4"/>
      <c r="AG86" s="4" t="s">
        <v>712</v>
      </c>
      <c r="AH86" s="4" t="s">
        <v>713</v>
      </c>
    </row>
    <row r="87" spans="1:34" ht="13.5" customHeight="1">
      <c r="A87" s="5" t="s">
        <v>741</v>
      </c>
      <c r="B87" s="5" t="s">
        <v>53</v>
      </c>
      <c r="C87" s="5" t="s">
        <v>54</v>
      </c>
      <c r="D87" s="5" t="s">
        <v>697</v>
      </c>
      <c r="E87" s="5" t="s">
        <v>742</v>
      </c>
      <c r="F87" s="5" t="s">
        <v>57</v>
      </c>
      <c r="G87" s="5" t="s">
        <v>743</v>
      </c>
      <c r="H87" s="5" t="s">
        <v>744</v>
      </c>
      <c r="I87" s="5" t="s">
        <v>745</v>
      </c>
      <c r="J87" s="5" t="s">
        <v>746</v>
      </c>
      <c r="K87" s="5" t="s">
        <v>747</v>
      </c>
      <c r="L87" s="5" t="s">
        <v>748</v>
      </c>
      <c r="M87" s="5" t="s">
        <v>64</v>
      </c>
      <c r="N87" s="5" t="s">
        <v>116</v>
      </c>
      <c r="O87" s="5" t="s">
        <v>749</v>
      </c>
      <c r="P87" s="5" t="s">
        <v>750</v>
      </c>
      <c r="Q87" s="5" t="s">
        <v>68</v>
      </c>
      <c r="R87" s="5" t="s">
        <v>751</v>
      </c>
      <c r="S87" s="5" t="s">
        <v>752</v>
      </c>
      <c r="T87" s="5" t="s">
        <v>71</v>
      </c>
      <c r="U87" s="5" t="s">
        <v>753</v>
      </c>
      <c r="V87" s="5" t="s">
        <v>754</v>
      </c>
      <c r="W87" s="5" t="s">
        <v>74</v>
      </c>
      <c r="X87" s="5" t="s">
        <v>755</v>
      </c>
      <c r="Y87" s="5" t="s">
        <v>756</v>
      </c>
      <c r="Z87" s="5" t="s">
        <v>77</v>
      </c>
      <c r="AA87" s="5" t="s">
        <v>757</v>
      </c>
      <c r="AB87" s="5" t="s">
        <v>758</v>
      </c>
      <c r="AC87" s="5" t="s">
        <v>80</v>
      </c>
      <c r="AD87" s="5" t="s">
        <v>759</v>
      </c>
      <c r="AE87" s="5" t="s">
        <v>760</v>
      </c>
      <c r="AF87" s="5" t="s">
        <v>83</v>
      </c>
      <c r="AG87" s="5" t="s">
        <v>761</v>
      </c>
      <c r="AH87" s="5" t="s">
        <v>713</v>
      </c>
    </row>
    <row r="88" spans="1:34" ht="13.5" customHeight="1">
      <c r="A88" s="4" t="s">
        <v>762</v>
      </c>
      <c r="B88" s="4" t="s">
        <v>53</v>
      </c>
      <c r="C88" s="4" t="s">
        <v>54</v>
      </c>
      <c r="D88" s="4" t="s">
        <v>697</v>
      </c>
      <c r="E88" s="4" t="s">
        <v>742</v>
      </c>
      <c r="F88" s="4" t="s">
        <v>57</v>
      </c>
      <c r="G88" s="4" t="s">
        <v>763</v>
      </c>
      <c r="H88" s="4" t="s">
        <v>764</v>
      </c>
      <c r="I88" s="4" t="s">
        <v>745</v>
      </c>
      <c r="J88" s="4" t="s">
        <v>746</v>
      </c>
      <c r="K88" s="4" t="s">
        <v>765</v>
      </c>
      <c r="L88" s="4" t="s">
        <v>748</v>
      </c>
      <c r="M88" s="4" t="s">
        <v>64</v>
      </c>
      <c r="N88" s="4" t="s">
        <v>116</v>
      </c>
      <c r="O88" s="4" t="s">
        <v>749</v>
      </c>
      <c r="P88" s="4" t="s">
        <v>750</v>
      </c>
      <c r="Q88" s="4" t="s">
        <v>68</v>
      </c>
      <c r="R88" s="4" t="s">
        <v>751</v>
      </c>
      <c r="S88" s="4" t="s">
        <v>752</v>
      </c>
      <c r="T88" s="4" t="s">
        <v>71</v>
      </c>
      <c r="U88" s="4" t="s">
        <v>753</v>
      </c>
      <c r="V88" s="4" t="s">
        <v>754</v>
      </c>
      <c r="W88" s="4" t="s">
        <v>74</v>
      </c>
      <c r="X88" s="4" t="s">
        <v>755</v>
      </c>
      <c r="Y88" s="4" t="s">
        <v>756</v>
      </c>
      <c r="Z88" s="4" t="s">
        <v>77</v>
      </c>
      <c r="AA88" s="4" t="s">
        <v>757</v>
      </c>
      <c r="AB88" s="4" t="s">
        <v>758</v>
      </c>
      <c r="AC88" s="4" t="s">
        <v>80</v>
      </c>
      <c r="AD88" s="4" t="s">
        <v>759</v>
      </c>
      <c r="AE88" s="4" t="s">
        <v>760</v>
      </c>
      <c r="AF88" s="4" t="s">
        <v>83</v>
      </c>
      <c r="AG88" s="4" t="s">
        <v>761</v>
      </c>
      <c r="AH88" s="4" t="s">
        <v>713</v>
      </c>
    </row>
    <row r="89" spans="1:34" ht="13.5" customHeight="1">
      <c r="A89" s="5" t="s">
        <v>766</v>
      </c>
      <c r="B89" s="5" t="s">
        <v>53</v>
      </c>
      <c r="C89" s="5" t="s">
        <v>54</v>
      </c>
      <c r="D89" s="5" t="s">
        <v>697</v>
      </c>
      <c r="E89" s="5" t="s">
        <v>742</v>
      </c>
      <c r="F89" s="5" t="s">
        <v>57</v>
      </c>
      <c r="G89" s="5" t="s">
        <v>767</v>
      </c>
      <c r="H89" s="5" t="s">
        <v>768</v>
      </c>
      <c r="I89" s="5" t="s">
        <v>745</v>
      </c>
      <c r="J89" s="5" t="s">
        <v>746</v>
      </c>
      <c r="K89" s="5" t="s">
        <v>769</v>
      </c>
      <c r="L89" s="5" t="s">
        <v>748</v>
      </c>
      <c r="M89" s="5" t="s">
        <v>64</v>
      </c>
      <c r="N89" s="5" t="s">
        <v>116</v>
      </c>
      <c r="O89" s="5" t="s">
        <v>749</v>
      </c>
      <c r="P89" s="5" t="s">
        <v>750</v>
      </c>
      <c r="Q89" s="5" t="s">
        <v>68</v>
      </c>
      <c r="R89" s="5" t="s">
        <v>751</v>
      </c>
      <c r="S89" s="5" t="s">
        <v>752</v>
      </c>
      <c r="T89" s="5" t="s">
        <v>71</v>
      </c>
      <c r="U89" s="5" t="s">
        <v>753</v>
      </c>
      <c r="V89" s="5" t="s">
        <v>754</v>
      </c>
      <c r="W89" s="5" t="s">
        <v>74</v>
      </c>
      <c r="X89" s="5" t="s">
        <v>755</v>
      </c>
      <c r="Y89" s="5" t="s">
        <v>756</v>
      </c>
      <c r="Z89" s="5" t="s">
        <v>77</v>
      </c>
      <c r="AA89" s="5" t="s">
        <v>757</v>
      </c>
      <c r="AB89" s="5" t="s">
        <v>758</v>
      </c>
      <c r="AC89" s="5" t="s">
        <v>80</v>
      </c>
      <c r="AD89" s="5" t="s">
        <v>759</v>
      </c>
      <c r="AE89" s="5" t="s">
        <v>760</v>
      </c>
      <c r="AF89" s="5" t="s">
        <v>83</v>
      </c>
      <c r="AG89" s="5" t="s">
        <v>761</v>
      </c>
      <c r="AH89" s="5" t="s">
        <v>713</v>
      </c>
    </row>
    <row r="90" spans="1:34" ht="13.5" customHeight="1">
      <c r="A90" s="4" t="s">
        <v>770</v>
      </c>
      <c r="B90" s="4" t="s">
        <v>53</v>
      </c>
      <c r="C90" s="4" t="s">
        <v>54</v>
      </c>
      <c r="D90" s="4" t="s">
        <v>697</v>
      </c>
      <c r="E90" s="4" t="s">
        <v>742</v>
      </c>
      <c r="F90" s="4" t="s">
        <v>57</v>
      </c>
      <c r="G90" s="4" t="s">
        <v>771</v>
      </c>
      <c r="H90" s="4" t="s">
        <v>772</v>
      </c>
      <c r="I90" s="4" t="s">
        <v>745</v>
      </c>
      <c r="J90" s="4" t="s">
        <v>746</v>
      </c>
      <c r="K90" s="4" t="s">
        <v>773</v>
      </c>
      <c r="L90" s="4" t="s">
        <v>748</v>
      </c>
      <c r="M90" s="4" t="s">
        <v>64</v>
      </c>
      <c r="N90" s="4" t="s">
        <v>116</v>
      </c>
      <c r="O90" s="4" t="s">
        <v>749</v>
      </c>
      <c r="P90" s="4" t="s">
        <v>750</v>
      </c>
      <c r="Q90" s="4" t="s">
        <v>68</v>
      </c>
      <c r="R90" s="4" t="s">
        <v>751</v>
      </c>
      <c r="S90" s="4" t="s">
        <v>752</v>
      </c>
      <c r="T90" s="4" t="s">
        <v>71</v>
      </c>
      <c r="U90" s="4" t="s">
        <v>753</v>
      </c>
      <c r="V90" s="4" t="s">
        <v>754</v>
      </c>
      <c r="W90" s="4" t="s">
        <v>74</v>
      </c>
      <c r="X90" s="4" t="s">
        <v>755</v>
      </c>
      <c r="Y90" s="4" t="s">
        <v>756</v>
      </c>
      <c r="Z90" s="4" t="s">
        <v>77</v>
      </c>
      <c r="AA90" s="4" t="s">
        <v>757</v>
      </c>
      <c r="AB90" s="4" t="s">
        <v>758</v>
      </c>
      <c r="AC90" s="4" t="s">
        <v>80</v>
      </c>
      <c r="AD90" s="4" t="s">
        <v>759</v>
      </c>
      <c r="AE90" s="4" t="s">
        <v>760</v>
      </c>
      <c r="AF90" s="4" t="s">
        <v>83</v>
      </c>
      <c r="AG90" s="4" t="s">
        <v>761</v>
      </c>
      <c r="AH90" s="4" t="s">
        <v>713</v>
      </c>
    </row>
    <row r="91" spans="1:34" ht="13.5" customHeight="1">
      <c r="A91" s="5" t="s">
        <v>774</v>
      </c>
      <c r="B91" s="5" t="s">
        <v>53</v>
      </c>
      <c r="C91" s="5" t="s">
        <v>54</v>
      </c>
      <c r="D91" s="5" t="s">
        <v>697</v>
      </c>
      <c r="E91" s="5" t="s">
        <v>775</v>
      </c>
      <c r="F91" s="5" t="s">
        <v>699</v>
      </c>
      <c r="G91" s="5" t="s">
        <v>776</v>
      </c>
      <c r="H91" s="5" t="s">
        <v>777</v>
      </c>
      <c r="I91" s="5" t="s">
        <v>778</v>
      </c>
      <c r="J91" s="5" t="s">
        <v>779</v>
      </c>
      <c r="K91" s="5" t="s">
        <v>780</v>
      </c>
      <c r="L91" s="5" t="s">
        <v>781</v>
      </c>
      <c r="M91" s="5" t="s">
        <v>64</v>
      </c>
      <c r="N91" s="5" t="s">
        <v>116</v>
      </c>
      <c r="O91" s="5" t="s">
        <v>782</v>
      </c>
      <c r="P91" s="5" t="s">
        <v>366</v>
      </c>
      <c r="Q91" s="5"/>
      <c r="R91" s="5" t="s">
        <v>707</v>
      </c>
      <c r="S91" s="5" t="s">
        <v>366</v>
      </c>
      <c r="T91" s="5"/>
      <c r="U91" s="5" t="s">
        <v>708</v>
      </c>
      <c r="V91" s="5" t="s">
        <v>366</v>
      </c>
      <c r="W91" s="5"/>
      <c r="X91" s="5" t="s">
        <v>709</v>
      </c>
      <c r="Y91" s="5" t="s">
        <v>366</v>
      </c>
      <c r="Z91" s="5"/>
      <c r="AA91" s="5" t="s">
        <v>710</v>
      </c>
      <c r="AB91" s="5" t="s">
        <v>366</v>
      </c>
      <c r="AC91" s="5"/>
      <c r="AD91" s="5" t="s">
        <v>711</v>
      </c>
      <c r="AE91" s="5" t="s">
        <v>366</v>
      </c>
      <c r="AF91" s="5"/>
      <c r="AG91" s="5" t="s">
        <v>712</v>
      </c>
      <c r="AH91" s="5" t="s">
        <v>713</v>
      </c>
    </row>
    <row r="92" spans="1:34" ht="13.5" customHeight="1">
      <c r="A92" s="4" t="s">
        <v>783</v>
      </c>
      <c r="B92" s="4" t="s">
        <v>53</v>
      </c>
      <c r="C92" s="4" t="s">
        <v>54</v>
      </c>
      <c r="D92" s="4" t="s">
        <v>697</v>
      </c>
      <c r="E92" s="4" t="s">
        <v>775</v>
      </c>
      <c r="F92" s="4" t="s">
        <v>699</v>
      </c>
      <c r="G92" s="4" t="s">
        <v>784</v>
      </c>
      <c r="H92" s="4" t="s">
        <v>785</v>
      </c>
      <c r="I92" s="4" t="s">
        <v>778</v>
      </c>
      <c r="J92" s="4" t="s">
        <v>779</v>
      </c>
      <c r="K92" s="4" t="s">
        <v>786</v>
      </c>
      <c r="L92" s="4" t="s">
        <v>781</v>
      </c>
      <c r="M92" s="4" t="s">
        <v>64</v>
      </c>
      <c r="N92" s="4" t="s">
        <v>116</v>
      </c>
      <c r="O92" s="4" t="s">
        <v>782</v>
      </c>
      <c r="P92" s="4" t="s">
        <v>366</v>
      </c>
      <c r="Q92" s="4"/>
      <c r="R92" s="4" t="s">
        <v>707</v>
      </c>
      <c r="S92" s="4" t="s">
        <v>366</v>
      </c>
      <c r="T92" s="4"/>
      <c r="U92" s="4" t="s">
        <v>708</v>
      </c>
      <c r="V92" s="4" t="s">
        <v>366</v>
      </c>
      <c r="W92" s="4"/>
      <c r="X92" s="4" t="s">
        <v>709</v>
      </c>
      <c r="Y92" s="4" t="s">
        <v>366</v>
      </c>
      <c r="Z92" s="4"/>
      <c r="AA92" s="4" t="s">
        <v>710</v>
      </c>
      <c r="AB92" s="4" t="s">
        <v>366</v>
      </c>
      <c r="AC92" s="4"/>
      <c r="AD92" s="4" t="s">
        <v>711</v>
      </c>
      <c r="AE92" s="4" t="s">
        <v>366</v>
      </c>
      <c r="AF92" s="4"/>
      <c r="AG92" s="4" t="s">
        <v>712</v>
      </c>
      <c r="AH92" s="4" t="s">
        <v>713</v>
      </c>
    </row>
    <row r="93" spans="1:34" ht="13.5" customHeight="1">
      <c r="A93" s="5" t="s">
        <v>787</v>
      </c>
      <c r="B93" s="5" t="s">
        <v>53</v>
      </c>
      <c r="C93" s="5" t="s">
        <v>54</v>
      </c>
      <c r="D93" s="5" t="s">
        <v>697</v>
      </c>
      <c r="E93" s="5" t="s">
        <v>775</v>
      </c>
      <c r="F93" s="5" t="s">
        <v>699</v>
      </c>
      <c r="G93" s="5" t="s">
        <v>788</v>
      </c>
      <c r="H93" s="5" t="s">
        <v>789</v>
      </c>
      <c r="I93" s="5" t="s">
        <v>790</v>
      </c>
      <c r="J93" s="5" t="s">
        <v>779</v>
      </c>
      <c r="K93" s="5" t="s">
        <v>791</v>
      </c>
      <c r="L93" s="5" t="s">
        <v>781</v>
      </c>
      <c r="M93" s="5" t="s">
        <v>64</v>
      </c>
      <c r="N93" s="5" t="s">
        <v>116</v>
      </c>
      <c r="O93" s="5" t="s">
        <v>782</v>
      </c>
      <c r="P93" s="5" t="s">
        <v>366</v>
      </c>
      <c r="Q93" s="5"/>
      <c r="R93" s="5" t="s">
        <v>707</v>
      </c>
      <c r="S93" s="5" t="s">
        <v>366</v>
      </c>
      <c r="T93" s="5"/>
      <c r="U93" s="5" t="s">
        <v>708</v>
      </c>
      <c r="V93" s="5" t="s">
        <v>366</v>
      </c>
      <c r="W93" s="5"/>
      <c r="X93" s="5" t="s">
        <v>709</v>
      </c>
      <c r="Y93" s="5" t="s">
        <v>366</v>
      </c>
      <c r="Z93" s="5"/>
      <c r="AA93" s="5" t="s">
        <v>710</v>
      </c>
      <c r="AB93" s="5" t="s">
        <v>366</v>
      </c>
      <c r="AC93" s="5"/>
      <c r="AD93" s="5" t="s">
        <v>711</v>
      </c>
      <c r="AE93" s="5" t="s">
        <v>366</v>
      </c>
      <c r="AF93" s="5"/>
      <c r="AG93" s="5" t="s">
        <v>712</v>
      </c>
      <c r="AH93" s="5" t="s">
        <v>713</v>
      </c>
    </row>
    <row r="94" spans="1:34" ht="13.5" customHeight="1">
      <c r="A94" s="4" t="s">
        <v>792</v>
      </c>
      <c r="B94" s="4" t="s">
        <v>53</v>
      </c>
      <c r="C94" s="4" t="s">
        <v>54</v>
      </c>
      <c r="D94" s="4" t="s">
        <v>697</v>
      </c>
      <c r="E94" s="4" t="s">
        <v>793</v>
      </c>
      <c r="F94" s="4" t="s">
        <v>699</v>
      </c>
      <c r="G94" s="4" t="s">
        <v>794</v>
      </c>
      <c r="H94" s="4" t="s">
        <v>795</v>
      </c>
      <c r="I94" s="4" t="s">
        <v>796</v>
      </c>
      <c r="J94" s="4" t="s">
        <v>797</v>
      </c>
      <c r="K94" s="4" t="s">
        <v>798</v>
      </c>
      <c r="L94" s="4" t="s">
        <v>799</v>
      </c>
      <c r="M94" s="4" t="s">
        <v>94</v>
      </c>
      <c r="N94" s="4" t="s">
        <v>116</v>
      </c>
      <c r="O94" s="4" t="s">
        <v>800</v>
      </c>
      <c r="P94" s="4" t="s">
        <v>366</v>
      </c>
      <c r="Q94" s="4"/>
      <c r="R94" s="4" t="s">
        <v>707</v>
      </c>
      <c r="S94" s="4" t="s">
        <v>366</v>
      </c>
      <c r="T94" s="4"/>
      <c r="U94" s="4" t="s">
        <v>708</v>
      </c>
      <c r="V94" s="4" t="s">
        <v>366</v>
      </c>
      <c r="W94" s="4"/>
      <c r="X94" s="4" t="s">
        <v>709</v>
      </c>
      <c r="Y94" s="4" t="s">
        <v>366</v>
      </c>
      <c r="Z94" s="4"/>
      <c r="AA94" s="4" t="s">
        <v>710</v>
      </c>
      <c r="AB94" s="4" t="s">
        <v>366</v>
      </c>
      <c r="AC94" s="4"/>
      <c r="AD94" s="4" t="s">
        <v>711</v>
      </c>
      <c r="AE94" s="4" t="s">
        <v>366</v>
      </c>
      <c r="AF94" s="4"/>
      <c r="AG94" s="4" t="s">
        <v>712</v>
      </c>
      <c r="AH94" s="4" t="s">
        <v>713</v>
      </c>
    </row>
    <row r="95" spans="1:34" ht="13.5" customHeight="1">
      <c r="A95" s="5" t="s">
        <v>801</v>
      </c>
      <c r="B95" s="5" t="s">
        <v>53</v>
      </c>
      <c r="C95" s="5" t="s">
        <v>54</v>
      </c>
      <c r="D95" s="5" t="s">
        <v>697</v>
      </c>
      <c r="E95" s="5" t="s">
        <v>793</v>
      </c>
      <c r="F95" s="5" t="s">
        <v>699</v>
      </c>
      <c r="G95" s="5" t="s">
        <v>802</v>
      </c>
      <c r="H95" s="5" t="s">
        <v>803</v>
      </c>
      <c r="I95" s="5" t="s">
        <v>796</v>
      </c>
      <c r="J95" s="5" t="s">
        <v>797</v>
      </c>
      <c r="K95" s="5" t="s">
        <v>804</v>
      </c>
      <c r="L95" s="5" t="s">
        <v>799</v>
      </c>
      <c r="M95" s="5" t="s">
        <v>94</v>
      </c>
      <c r="N95" s="5" t="s">
        <v>116</v>
      </c>
      <c r="O95" s="5" t="s">
        <v>800</v>
      </c>
      <c r="P95" s="5" t="s">
        <v>366</v>
      </c>
      <c r="Q95" s="5"/>
      <c r="R95" s="5" t="s">
        <v>707</v>
      </c>
      <c r="S95" s="5" t="s">
        <v>366</v>
      </c>
      <c r="T95" s="5"/>
      <c r="U95" s="5" t="s">
        <v>708</v>
      </c>
      <c r="V95" s="5" t="s">
        <v>366</v>
      </c>
      <c r="W95" s="5"/>
      <c r="X95" s="5" t="s">
        <v>709</v>
      </c>
      <c r="Y95" s="5" t="s">
        <v>366</v>
      </c>
      <c r="Z95" s="5"/>
      <c r="AA95" s="5" t="s">
        <v>710</v>
      </c>
      <c r="AB95" s="5" t="s">
        <v>366</v>
      </c>
      <c r="AC95" s="5"/>
      <c r="AD95" s="5" t="s">
        <v>711</v>
      </c>
      <c r="AE95" s="5" t="s">
        <v>366</v>
      </c>
      <c r="AF95" s="5"/>
      <c r="AG95" s="5" t="s">
        <v>712</v>
      </c>
      <c r="AH95" s="5" t="s">
        <v>713</v>
      </c>
    </row>
    <row r="96" spans="1:34" ht="13.5" customHeight="1">
      <c r="A96" s="4" t="s">
        <v>805</v>
      </c>
      <c r="B96" s="4" t="s">
        <v>53</v>
      </c>
      <c r="C96" s="4" t="s">
        <v>54</v>
      </c>
      <c r="D96" s="4" t="s">
        <v>697</v>
      </c>
      <c r="E96" s="4" t="s">
        <v>793</v>
      </c>
      <c r="F96" s="4" t="s">
        <v>699</v>
      </c>
      <c r="G96" s="4" t="s">
        <v>806</v>
      </c>
      <c r="H96" s="4" t="s">
        <v>807</v>
      </c>
      <c r="I96" s="4" t="s">
        <v>796</v>
      </c>
      <c r="J96" s="4" t="s">
        <v>797</v>
      </c>
      <c r="K96" s="4" t="s">
        <v>808</v>
      </c>
      <c r="L96" s="4" t="s">
        <v>799</v>
      </c>
      <c r="M96" s="4" t="s">
        <v>94</v>
      </c>
      <c r="N96" s="4" t="s">
        <v>116</v>
      </c>
      <c r="O96" s="4" t="s">
        <v>800</v>
      </c>
      <c r="P96" s="4" t="s">
        <v>366</v>
      </c>
      <c r="Q96" s="4"/>
      <c r="R96" s="4" t="s">
        <v>707</v>
      </c>
      <c r="S96" s="4" t="s">
        <v>366</v>
      </c>
      <c r="T96" s="4"/>
      <c r="U96" s="4" t="s">
        <v>708</v>
      </c>
      <c r="V96" s="4" t="s">
        <v>366</v>
      </c>
      <c r="W96" s="4"/>
      <c r="X96" s="4" t="s">
        <v>709</v>
      </c>
      <c r="Y96" s="4" t="s">
        <v>366</v>
      </c>
      <c r="Z96" s="4"/>
      <c r="AA96" s="4" t="s">
        <v>710</v>
      </c>
      <c r="AB96" s="4" t="s">
        <v>366</v>
      </c>
      <c r="AC96" s="4"/>
      <c r="AD96" s="4" t="s">
        <v>711</v>
      </c>
      <c r="AE96" s="4" t="s">
        <v>366</v>
      </c>
      <c r="AF96" s="4"/>
      <c r="AG96" s="4" t="s">
        <v>712</v>
      </c>
      <c r="AH96" s="4" t="s">
        <v>713</v>
      </c>
    </row>
    <row r="97" spans="1:34" ht="13.5" customHeight="1">
      <c r="A97" s="5" t="s">
        <v>809</v>
      </c>
      <c r="B97" s="5" t="s">
        <v>53</v>
      </c>
      <c r="C97" s="5" t="s">
        <v>54</v>
      </c>
      <c r="D97" s="5" t="s">
        <v>697</v>
      </c>
      <c r="E97" s="5" t="s">
        <v>810</v>
      </c>
      <c r="F97" s="5" t="s">
        <v>699</v>
      </c>
      <c r="G97" s="5" t="s">
        <v>811</v>
      </c>
      <c r="H97" s="5" t="s">
        <v>812</v>
      </c>
      <c r="I97" s="5" t="s">
        <v>813</v>
      </c>
      <c r="J97" s="5" t="s">
        <v>814</v>
      </c>
      <c r="K97" s="5" t="s">
        <v>815</v>
      </c>
      <c r="L97" s="5" t="s">
        <v>816</v>
      </c>
      <c r="M97" s="5" t="s">
        <v>94</v>
      </c>
      <c r="N97" s="5" t="s">
        <v>116</v>
      </c>
      <c r="O97" s="5" t="s">
        <v>817</v>
      </c>
      <c r="P97" s="5" t="s">
        <v>366</v>
      </c>
      <c r="Q97" s="5"/>
      <c r="R97" s="5" t="s">
        <v>707</v>
      </c>
      <c r="S97" s="5" t="s">
        <v>366</v>
      </c>
      <c r="T97" s="5"/>
      <c r="U97" s="5" t="s">
        <v>708</v>
      </c>
      <c r="V97" s="5" t="s">
        <v>366</v>
      </c>
      <c r="W97" s="5"/>
      <c r="X97" s="5" t="s">
        <v>709</v>
      </c>
      <c r="Y97" s="5" t="s">
        <v>366</v>
      </c>
      <c r="Z97" s="5"/>
      <c r="AA97" s="5" t="s">
        <v>710</v>
      </c>
      <c r="AB97" s="5" t="s">
        <v>366</v>
      </c>
      <c r="AC97" s="5"/>
      <c r="AD97" s="5" t="s">
        <v>711</v>
      </c>
      <c r="AE97" s="5" t="s">
        <v>366</v>
      </c>
      <c r="AF97" s="5"/>
      <c r="AG97" s="5" t="s">
        <v>712</v>
      </c>
      <c r="AH97" s="5" t="s">
        <v>713</v>
      </c>
    </row>
    <row r="98" spans="1:34" ht="13.5" customHeight="1">
      <c r="A98" s="4" t="s">
        <v>818</v>
      </c>
      <c r="B98" s="4" t="s">
        <v>53</v>
      </c>
      <c r="C98" s="4" t="s">
        <v>54</v>
      </c>
      <c r="D98" s="4" t="s">
        <v>697</v>
      </c>
      <c r="E98" s="4" t="s">
        <v>810</v>
      </c>
      <c r="F98" s="4" t="s">
        <v>699</v>
      </c>
      <c r="G98" s="4" t="s">
        <v>819</v>
      </c>
      <c r="H98" s="4" t="s">
        <v>820</v>
      </c>
      <c r="I98" s="4" t="s">
        <v>813</v>
      </c>
      <c r="J98" s="4" t="s">
        <v>814</v>
      </c>
      <c r="K98" s="4" t="s">
        <v>821</v>
      </c>
      <c r="L98" s="4" t="s">
        <v>816</v>
      </c>
      <c r="M98" s="4" t="s">
        <v>94</v>
      </c>
      <c r="N98" s="4" t="s">
        <v>822</v>
      </c>
      <c r="O98" s="4" t="s">
        <v>817</v>
      </c>
      <c r="P98" s="4" t="s">
        <v>366</v>
      </c>
      <c r="Q98" s="4"/>
      <c r="R98" s="4" t="s">
        <v>707</v>
      </c>
      <c r="S98" s="4" t="s">
        <v>366</v>
      </c>
      <c r="T98" s="4"/>
      <c r="U98" s="4" t="s">
        <v>708</v>
      </c>
      <c r="V98" s="4" t="s">
        <v>366</v>
      </c>
      <c r="W98" s="4"/>
      <c r="X98" s="4" t="s">
        <v>709</v>
      </c>
      <c r="Y98" s="4" t="s">
        <v>366</v>
      </c>
      <c r="Z98" s="4"/>
      <c r="AA98" s="4" t="s">
        <v>710</v>
      </c>
      <c r="AB98" s="4" t="s">
        <v>366</v>
      </c>
      <c r="AC98" s="4"/>
      <c r="AD98" s="4" t="s">
        <v>711</v>
      </c>
      <c r="AE98" s="4" t="s">
        <v>366</v>
      </c>
      <c r="AF98" s="4"/>
      <c r="AG98" s="4" t="s">
        <v>712</v>
      </c>
      <c r="AH98" s="4" t="s">
        <v>713</v>
      </c>
    </row>
    <row r="99" spans="1:34" ht="13.5" customHeight="1">
      <c r="A99" s="5" t="s">
        <v>823</v>
      </c>
      <c r="B99" s="5" t="s">
        <v>53</v>
      </c>
      <c r="C99" s="5" t="s">
        <v>54</v>
      </c>
      <c r="D99" s="5" t="s">
        <v>697</v>
      </c>
      <c r="E99" s="5" t="s">
        <v>810</v>
      </c>
      <c r="F99" s="5" t="s">
        <v>699</v>
      </c>
      <c r="G99" s="5" t="s">
        <v>824</v>
      </c>
      <c r="H99" s="5" t="s">
        <v>825</v>
      </c>
      <c r="I99" s="5" t="s">
        <v>813</v>
      </c>
      <c r="J99" s="5" t="s">
        <v>814</v>
      </c>
      <c r="K99" s="5" t="s">
        <v>826</v>
      </c>
      <c r="L99" s="5" t="s">
        <v>816</v>
      </c>
      <c r="M99" s="5" t="s">
        <v>94</v>
      </c>
      <c r="N99" s="5" t="s">
        <v>116</v>
      </c>
      <c r="O99" s="5" t="s">
        <v>817</v>
      </c>
      <c r="P99" s="5" t="s">
        <v>366</v>
      </c>
      <c r="Q99" s="5"/>
      <c r="R99" s="5" t="s">
        <v>707</v>
      </c>
      <c r="S99" s="5" t="s">
        <v>366</v>
      </c>
      <c r="T99" s="5"/>
      <c r="U99" s="5" t="s">
        <v>708</v>
      </c>
      <c r="V99" s="5" t="s">
        <v>366</v>
      </c>
      <c r="W99" s="5"/>
      <c r="X99" s="5" t="s">
        <v>709</v>
      </c>
      <c r="Y99" s="5" t="s">
        <v>366</v>
      </c>
      <c r="Z99" s="5"/>
      <c r="AA99" s="5" t="s">
        <v>710</v>
      </c>
      <c r="AB99" s="5" t="s">
        <v>366</v>
      </c>
      <c r="AC99" s="5"/>
      <c r="AD99" s="5" t="s">
        <v>711</v>
      </c>
      <c r="AE99" s="5" t="s">
        <v>366</v>
      </c>
      <c r="AF99" s="5"/>
      <c r="AG99" s="5" t="s">
        <v>712</v>
      </c>
      <c r="AH99" s="5" t="s">
        <v>713</v>
      </c>
    </row>
    <row r="100" spans="1:34" ht="13.5" customHeight="1">
      <c r="A100" s="4" t="s">
        <v>827</v>
      </c>
      <c r="B100" s="4" t="s">
        <v>53</v>
      </c>
      <c r="C100" s="4" t="s">
        <v>54</v>
      </c>
      <c r="D100" s="4" t="s">
        <v>697</v>
      </c>
      <c r="E100" s="4" t="s">
        <v>828</v>
      </c>
      <c r="F100" s="4" t="s">
        <v>699</v>
      </c>
      <c r="G100" s="4" t="s">
        <v>829</v>
      </c>
      <c r="H100" s="4" t="s">
        <v>830</v>
      </c>
      <c r="I100" s="4" t="s">
        <v>831</v>
      </c>
      <c r="J100" s="4" t="s">
        <v>832</v>
      </c>
      <c r="K100" s="4" t="s">
        <v>833</v>
      </c>
      <c r="L100" s="4" t="s">
        <v>834</v>
      </c>
      <c r="M100" s="4" t="s">
        <v>94</v>
      </c>
      <c r="N100" s="4" t="s">
        <v>822</v>
      </c>
      <c r="O100" s="4" t="s">
        <v>835</v>
      </c>
      <c r="P100" s="4" t="s">
        <v>366</v>
      </c>
      <c r="Q100" s="4"/>
      <c r="R100" s="4" t="s">
        <v>707</v>
      </c>
      <c r="S100" s="4" t="s">
        <v>366</v>
      </c>
      <c r="T100" s="4"/>
      <c r="U100" s="4" t="s">
        <v>708</v>
      </c>
      <c r="V100" s="4" t="s">
        <v>366</v>
      </c>
      <c r="W100" s="4"/>
      <c r="X100" s="4" t="s">
        <v>709</v>
      </c>
      <c r="Y100" s="4" t="s">
        <v>366</v>
      </c>
      <c r="Z100" s="4"/>
      <c r="AA100" s="4" t="s">
        <v>710</v>
      </c>
      <c r="AB100" s="4" t="s">
        <v>366</v>
      </c>
      <c r="AC100" s="4"/>
      <c r="AD100" s="4" t="s">
        <v>711</v>
      </c>
      <c r="AE100" s="4" t="s">
        <v>366</v>
      </c>
      <c r="AF100" s="4"/>
      <c r="AG100" s="4" t="s">
        <v>712</v>
      </c>
      <c r="AH100" s="4" t="s">
        <v>713</v>
      </c>
    </row>
    <row r="101" spans="1:34" ht="13.5" hidden="1" customHeight="1">
      <c r="A101" s="5" t="s">
        <v>836</v>
      </c>
      <c r="B101" s="5" t="s">
        <v>87</v>
      </c>
      <c r="C101" s="5" t="s">
        <v>54</v>
      </c>
      <c r="D101" s="5" t="s">
        <v>697</v>
      </c>
      <c r="E101" s="5" t="s">
        <v>828</v>
      </c>
      <c r="F101" s="5" t="s">
        <v>699</v>
      </c>
      <c r="G101" s="5" t="s">
        <v>837</v>
      </c>
      <c r="H101" s="5" t="s">
        <v>838</v>
      </c>
      <c r="I101" s="5" t="s">
        <v>839</v>
      </c>
      <c r="J101" s="5" t="s">
        <v>840</v>
      </c>
      <c r="K101" s="5" t="s">
        <v>841</v>
      </c>
      <c r="L101" s="5" t="s">
        <v>842</v>
      </c>
      <c r="M101" s="5" t="s">
        <v>64</v>
      </c>
      <c r="N101" s="5"/>
      <c r="O101" s="5"/>
      <c r="P101" s="5" t="s">
        <v>366</v>
      </c>
      <c r="Q101" s="5"/>
      <c r="R101" s="5" t="s">
        <v>843</v>
      </c>
      <c r="S101" s="5" t="s">
        <v>366</v>
      </c>
      <c r="T101" s="5"/>
      <c r="U101" s="5" t="s">
        <v>844</v>
      </c>
      <c r="V101" s="5" t="s">
        <v>366</v>
      </c>
      <c r="W101" s="5"/>
      <c r="X101" s="5" t="s">
        <v>845</v>
      </c>
      <c r="Y101" s="5" t="s">
        <v>366</v>
      </c>
      <c r="Z101" s="5"/>
      <c r="AA101" s="5" t="s">
        <v>846</v>
      </c>
      <c r="AB101" s="5" t="s">
        <v>366</v>
      </c>
      <c r="AC101" s="5"/>
      <c r="AD101" s="5" t="s">
        <v>847</v>
      </c>
      <c r="AE101" s="5" t="s">
        <v>366</v>
      </c>
      <c r="AF101" s="5"/>
      <c r="AG101" s="5" t="s">
        <v>848</v>
      </c>
      <c r="AH101" s="5" t="s">
        <v>849</v>
      </c>
    </row>
    <row r="102" spans="1:34" ht="13.5" customHeight="1">
      <c r="A102" s="4" t="s">
        <v>850</v>
      </c>
      <c r="B102" s="4" t="s">
        <v>53</v>
      </c>
      <c r="C102" s="4" t="s">
        <v>54</v>
      </c>
      <c r="D102" s="4" t="s">
        <v>697</v>
      </c>
      <c r="E102" s="4" t="s">
        <v>828</v>
      </c>
      <c r="F102" s="4" t="s">
        <v>699</v>
      </c>
      <c r="G102" s="4" t="s">
        <v>851</v>
      </c>
      <c r="H102" s="4" t="s">
        <v>852</v>
      </c>
      <c r="I102" s="4" t="s">
        <v>831</v>
      </c>
      <c r="J102" s="4" t="s">
        <v>832</v>
      </c>
      <c r="K102" s="4" t="s">
        <v>853</v>
      </c>
      <c r="L102" s="4" t="s">
        <v>834</v>
      </c>
      <c r="M102" s="4" t="s">
        <v>94</v>
      </c>
      <c r="N102" s="4" t="s">
        <v>116</v>
      </c>
      <c r="O102" s="4" t="s">
        <v>835</v>
      </c>
      <c r="P102" s="4" t="s">
        <v>366</v>
      </c>
      <c r="Q102" s="4"/>
      <c r="R102" s="4" t="s">
        <v>707</v>
      </c>
      <c r="S102" s="4" t="s">
        <v>366</v>
      </c>
      <c r="T102" s="4"/>
      <c r="U102" s="4" t="s">
        <v>708</v>
      </c>
      <c r="V102" s="4" t="s">
        <v>366</v>
      </c>
      <c r="W102" s="4"/>
      <c r="X102" s="4" t="s">
        <v>709</v>
      </c>
      <c r="Y102" s="4" t="s">
        <v>366</v>
      </c>
      <c r="Z102" s="4"/>
      <c r="AA102" s="4" t="s">
        <v>710</v>
      </c>
      <c r="AB102" s="4" t="s">
        <v>366</v>
      </c>
      <c r="AC102" s="4"/>
      <c r="AD102" s="4" t="s">
        <v>711</v>
      </c>
      <c r="AE102" s="4" t="s">
        <v>366</v>
      </c>
      <c r="AF102" s="4"/>
      <c r="AG102" s="4" t="s">
        <v>712</v>
      </c>
      <c r="AH102" s="4" t="s">
        <v>713</v>
      </c>
    </row>
    <row r="103" spans="1:34" ht="13.5" customHeight="1">
      <c r="A103" s="5" t="s">
        <v>854</v>
      </c>
      <c r="B103" s="5" t="s">
        <v>53</v>
      </c>
      <c r="C103" s="5" t="s">
        <v>54</v>
      </c>
      <c r="D103" s="5" t="s">
        <v>697</v>
      </c>
      <c r="E103" s="5" t="s">
        <v>828</v>
      </c>
      <c r="F103" s="5" t="s">
        <v>699</v>
      </c>
      <c r="G103" s="5" t="s">
        <v>855</v>
      </c>
      <c r="H103" s="5" t="s">
        <v>856</v>
      </c>
      <c r="I103" s="5" t="s">
        <v>831</v>
      </c>
      <c r="J103" s="5" t="s">
        <v>832</v>
      </c>
      <c r="K103" s="5" t="s">
        <v>857</v>
      </c>
      <c r="L103" s="5" t="s">
        <v>834</v>
      </c>
      <c r="M103" s="5" t="s">
        <v>94</v>
      </c>
      <c r="N103" s="5" t="s">
        <v>116</v>
      </c>
      <c r="O103" s="5" t="s">
        <v>835</v>
      </c>
      <c r="P103" s="5" t="s">
        <v>366</v>
      </c>
      <c r="Q103" s="5"/>
      <c r="R103" s="5" t="s">
        <v>707</v>
      </c>
      <c r="S103" s="5" t="s">
        <v>366</v>
      </c>
      <c r="T103" s="5"/>
      <c r="U103" s="5" t="s">
        <v>708</v>
      </c>
      <c r="V103" s="5" t="s">
        <v>366</v>
      </c>
      <c r="W103" s="5"/>
      <c r="X103" s="5" t="s">
        <v>709</v>
      </c>
      <c r="Y103" s="5" t="s">
        <v>366</v>
      </c>
      <c r="Z103" s="5"/>
      <c r="AA103" s="5" t="s">
        <v>710</v>
      </c>
      <c r="AB103" s="5" t="s">
        <v>366</v>
      </c>
      <c r="AC103" s="5"/>
      <c r="AD103" s="5" t="s">
        <v>711</v>
      </c>
      <c r="AE103" s="5" t="s">
        <v>366</v>
      </c>
      <c r="AF103" s="5"/>
      <c r="AG103" s="5" t="s">
        <v>712</v>
      </c>
      <c r="AH103" s="5" t="s">
        <v>713</v>
      </c>
    </row>
    <row r="104" spans="1:34" ht="13.5" customHeight="1">
      <c r="A104" s="4" t="s">
        <v>858</v>
      </c>
      <c r="B104" s="4" t="s">
        <v>53</v>
      </c>
      <c r="C104" s="4" t="s">
        <v>54</v>
      </c>
      <c r="D104" s="4" t="s">
        <v>859</v>
      </c>
      <c r="E104" s="4" t="s">
        <v>860</v>
      </c>
      <c r="F104" s="4" t="s">
        <v>358</v>
      </c>
      <c r="G104" s="4" t="s">
        <v>861</v>
      </c>
      <c r="H104" s="4" t="s">
        <v>862</v>
      </c>
      <c r="I104" s="4" t="s">
        <v>863</v>
      </c>
      <c r="J104" s="4" t="s">
        <v>864</v>
      </c>
      <c r="K104" s="4" t="s">
        <v>865</v>
      </c>
      <c r="L104" s="4" t="s">
        <v>866</v>
      </c>
      <c r="M104" s="4" t="s">
        <v>94</v>
      </c>
      <c r="N104" s="4" t="s">
        <v>551</v>
      </c>
      <c r="O104" s="4" t="s">
        <v>867</v>
      </c>
      <c r="P104" s="4" t="s">
        <v>366</v>
      </c>
      <c r="Q104" s="4"/>
      <c r="R104" s="4" t="s">
        <v>868</v>
      </c>
      <c r="S104" s="4" t="s">
        <v>366</v>
      </c>
      <c r="T104" s="4"/>
      <c r="U104" s="4" t="s">
        <v>869</v>
      </c>
      <c r="V104" s="4" t="s">
        <v>366</v>
      </c>
      <c r="W104" s="4"/>
      <c r="X104" s="4" t="s">
        <v>870</v>
      </c>
      <c r="Y104" s="4" t="s">
        <v>366</v>
      </c>
      <c r="Z104" s="4"/>
      <c r="AA104" s="4" t="s">
        <v>871</v>
      </c>
      <c r="AB104" s="4" t="s">
        <v>366</v>
      </c>
      <c r="AC104" s="4"/>
      <c r="AD104" s="4" t="s">
        <v>872</v>
      </c>
      <c r="AE104" s="4" t="s">
        <v>366</v>
      </c>
      <c r="AF104" s="4"/>
      <c r="AG104" s="4" t="s">
        <v>873</v>
      </c>
      <c r="AH104" s="4" t="s">
        <v>713</v>
      </c>
    </row>
    <row r="105" spans="1:34" ht="13.5" customHeight="1">
      <c r="A105" s="5" t="s">
        <v>874</v>
      </c>
      <c r="B105" s="5" t="s">
        <v>53</v>
      </c>
      <c r="C105" s="5" t="s">
        <v>54</v>
      </c>
      <c r="D105" s="5" t="s">
        <v>859</v>
      </c>
      <c r="E105" s="5" t="s">
        <v>860</v>
      </c>
      <c r="F105" s="5" t="s">
        <v>358</v>
      </c>
      <c r="G105" s="5" t="s">
        <v>875</v>
      </c>
      <c r="H105" s="5" t="s">
        <v>876</v>
      </c>
      <c r="I105" s="5" t="s">
        <v>863</v>
      </c>
      <c r="J105" s="5" t="s">
        <v>864</v>
      </c>
      <c r="K105" s="5" t="s">
        <v>877</v>
      </c>
      <c r="L105" s="5" t="s">
        <v>866</v>
      </c>
      <c r="M105" s="5" t="s">
        <v>94</v>
      </c>
      <c r="N105" s="5" t="s">
        <v>551</v>
      </c>
      <c r="O105" s="5" t="s">
        <v>867</v>
      </c>
      <c r="P105" s="5" t="s">
        <v>366</v>
      </c>
      <c r="Q105" s="5"/>
      <c r="R105" s="5" t="s">
        <v>868</v>
      </c>
      <c r="S105" s="5" t="s">
        <v>366</v>
      </c>
      <c r="T105" s="5"/>
      <c r="U105" s="5" t="s">
        <v>869</v>
      </c>
      <c r="V105" s="5" t="s">
        <v>366</v>
      </c>
      <c r="W105" s="5"/>
      <c r="X105" s="5" t="s">
        <v>870</v>
      </c>
      <c r="Y105" s="5" t="s">
        <v>366</v>
      </c>
      <c r="Z105" s="5"/>
      <c r="AA105" s="5" t="s">
        <v>871</v>
      </c>
      <c r="AB105" s="5" t="s">
        <v>366</v>
      </c>
      <c r="AC105" s="5"/>
      <c r="AD105" s="5" t="s">
        <v>872</v>
      </c>
      <c r="AE105" s="5" t="s">
        <v>366</v>
      </c>
      <c r="AF105" s="5"/>
      <c r="AG105" s="5" t="s">
        <v>873</v>
      </c>
      <c r="AH105" s="5" t="s">
        <v>713</v>
      </c>
    </row>
    <row r="106" spans="1:34" ht="13.5" customHeight="1">
      <c r="A106" s="4" t="s">
        <v>878</v>
      </c>
      <c r="B106" s="4" t="s">
        <v>53</v>
      </c>
      <c r="C106" s="4" t="s">
        <v>54</v>
      </c>
      <c r="D106" s="4" t="s">
        <v>859</v>
      </c>
      <c r="E106" s="4" t="s">
        <v>879</v>
      </c>
      <c r="F106" s="4" t="s">
        <v>358</v>
      </c>
      <c r="G106" s="4" t="s">
        <v>880</v>
      </c>
      <c r="H106" s="4" t="s">
        <v>881</v>
      </c>
      <c r="I106" s="4" t="s">
        <v>882</v>
      </c>
      <c r="J106" s="4" t="s">
        <v>883</v>
      </c>
      <c r="K106" s="4" t="s">
        <v>884</v>
      </c>
      <c r="L106" s="4" t="s">
        <v>885</v>
      </c>
      <c r="M106" s="4" t="s">
        <v>94</v>
      </c>
      <c r="N106" s="4" t="s">
        <v>551</v>
      </c>
      <c r="O106" s="4" t="s">
        <v>886</v>
      </c>
      <c r="P106" s="4" t="s">
        <v>366</v>
      </c>
      <c r="Q106" s="4"/>
      <c r="R106" s="4" t="s">
        <v>868</v>
      </c>
      <c r="S106" s="4" t="s">
        <v>366</v>
      </c>
      <c r="T106" s="4"/>
      <c r="U106" s="4" t="s">
        <v>869</v>
      </c>
      <c r="V106" s="4" t="s">
        <v>366</v>
      </c>
      <c r="W106" s="4"/>
      <c r="X106" s="4" t="s">
        <v>870</v>
      </c>
      <c r="Y106" s="4" t="s">
        <v>366</v>
      </c>
      <c r="Z106" s="4"/>
      <c r="AA106" s="4" t="s">
        <v>871</v>
      </c>
      <c r="AB106" s="4" t="s">
        <v>366</v>
      </c>
      <c r="AC106" s="4"/>
      <c r="AD106" s="4" t="s">
        <v>872</v>
      </c>
      <c r="AE106" s="4" t="s">
        <v>366</v>
      </c>
      <c r="AF106" s="4"/>
      <c r="AG106" s="4" t="s">
        <v>873</v>
      </c>
      <c r="AH106" s="4" t="s">
        <v>713</v>
      </c>
    </row>
    <row r="107" spans="1:34" ht="13.5" customHeight="1">
      <c r="A107" s="5" t="s">
        <v>887</v>
      </c>
      <c r="B107" s="5" t="s">
        <v>53</v>
      </c>
      <c r="C107" s="5" t="s">
        <v>54</v>
      </c>
      <c r="D107" s="5" t="s">
        <v>859</v>
      </c>
      <c r="E107" s="5" t="s">
        <v>879</v>
      </c>
      <c r="F107" s="5" t="s">
        <v>358</v>
      </c>
      <c r="G107" s="5" t="s">
        <v>888</v>
      </c>
      <c r="H107" s="5" t="s">
        <v>889</v>
      </c>
      <c r="I107" s="5" t="s">
        <v>882</v>
      </c>
      <c r="J107" s="5" t="s">
        <v>883</v>
      </c>
      <c r="K107" s="5" t="s">
        <v>890</v>
      </c>
      <c r="L107" s="5" t="s">
        <v>885</v>
      </c>
      <c r="M107" s="5" t="s">
        <v>94</v>
      </c>
      <c r="N107" s="5" t="s">
        <v>551</v>
      </c>
      <c r="O107" s="5" t="s">
        <v>886</v>
      </c>
      <c r="P107" s="5" t="s">
        <v>366</v>
      </c>
      <c r="Q107" s="5"/>
      <c r="R107" s="5" t="s">
        <v>868</v>
      </c>
      <c r="S107" s="5" t="s">
        <v>366</v>
      </c>
      <c r="T107" s="5"/>
      <c r="U107" s="5" t="s">
        <v>869</v>
      </c>
      <c r="V107" s="5" t="s">
        <v>366</v>
      </c>
      <c r="W107" s="5"/>
      <c r="X107" s="5" t="s">
        <v>870</v>
      </c>
      <c r="Y107" s="5" t="s">
        <v>366</v>
      </c>
      <c r="Z107" s="5"/>
      <c r="AA107" s="5" t="s">
        <v>871</v>
      </c>
      <c r="AB107" s="5" t="s">
        <v>366</v>
      </c>
      <c r="AC107" s="5"/>
      <c r="AD107" s="5" t="s">
        <v>872</v>
      </c>
      <c r="AE107" s="5" t="s">
        <v>366</v>
      </c>
      <c r="AF107" s="5"/>
      <c r="AG107" s="5" t="s">
        <v>873</v>
      </c>
      <c r="AH107" s="5" t="s">
        <v>713</v>
      </c>
    </row>
    <row r="108" spans="1:34" ht="13.5" customHeight="1">
      <c r="A108" s="4" t="s">
        <v>891</v>
      </c>
      <c r="B108" s="4" t="s">
        <v>53</v>
      </c>
      <c r="C108" s="4" t="s">
        <v>54</v>
      </c>
      <c r="D108" s="4" t="s">
        <v>859</v>
      </c>
      <c r="E108" s="4" t="s">
        <v>892</v>
      </c>
      <c r="F108" s="4" t="s">
        <v>699</v>
      </c>
      <c r="G108" s="4" t="s">
        <v>893</v>
      </c>
      <c r="H108" s="4" t="s">
        <v>894</v>
      </c>
      <c r="I108" s="4" t="s">
        <v>895</v>
      </c>
      <c r="J108" s="4" t="s">
        <v>896</v>
      </c>
      <c r="K108" s="4" t="s">
        <v>897</v>
      </c>
      <c r="L108" s="4" t="s">
        <v>898</v>
      </c>
      <c r="M108" s="4" t="s">
        <v>64</v>
      </c>
      <c r="N108" s="4" t="s">
        <v>551</v>
      </c>
      <c r="O108" s="4" t="s">
        <v>899</v>
      </c>
      <c r="P108" s="4" t="s">
        <v>366</v>
      </c>
      <c r="Q108" s="4"/>
      <c r="R108" s="4" t="s">
        <v>868</v>
      </c>
      <c r="S108" s="4" t="s">
        <v>366</v>
      </c>
      <c r="T108" s="4"/>
      <c r="U108" s="4" t="s">
        <v>869</v>
      </c>
      <c r="V108" s="4" t="s">
        <v>366</v>
      </c>
      <c r="W108" s="4"/>
      <c r="X108" s="4" t="s">
        <v>870</v>
      </c>
      <c r="Y108" s="4" t="s">
        <v>366</v>
      </c>
      <c r="Z108" s="4"/>
      <c r="AA108" s="4" t="s">
        <v>871</v>
      </c>
      <c r="AB108" s="4" t="s">
        <v>366</v>
      </c>
      <c r="AC108" s="4"/>
      <c r="AD108" s="4" t="s">
        <v>872</v>
      </c>
      <c r="AE108" s="4" t="s">
        <v>366</v>
      </c>
      <c r="AF108" s="4"/>
      <c r="AG108" s="4" t="s">
        <v>873</v>
      </c>
      <c r="AH108" s="4" t="s">
        <v>713</v>
      </c>
    </row>
    <row r="109" spans="1:34" ht="13.5" customHeight="1">
      <c r="A109" s="5" t="s">
        <v>900</v>
      </c>
      <c r="B109" s="5" t="s">
        <v>53</v>
      </c>
      <c r="C109" s="5" t="s">
        <v>54</v>
      </c>
      <c r="D109" s="5" t="s">
        <v>859</v>
      </c>
      <c r="E109" s="5" t="s">
        <v>892</v>
      </c>
      <c r="F109" s="5" t="s">
        <v>699</v>
      </c>
      <c r="G109" s="5" t="s">
        <v>901</v>
      </c>
      <c r="H109" s="5" t="s">
        <v>902</v>
      </c>
      <c r="I109" s="5" t="s">
        <v>895</v>
      </c>
      <c r="J109" s="5" t="s">
        <v>896</v>
      </c>
      <c r="K109" s="5" t="s">
        <v>903</v>
      </c>
      <c r="L109" s="5" t="s">
        <v>898</v>
      </c>
      <c r="M109" s="5" t="s">
        <v>64</v>
      </c>
      <c r="N109" s="5" t="s">
        <v>551</v>
      </c>
      <c r="O109" s="5" t="s">
        <v>899</v>
      </c>
      <c r="P109" s="5" t="s">
        <v>366</v>
      </c>
      <c r="Q109" s="5"/>
      <c r="R109" s="5" t="s">
        <v>868</v>
      </c>
      <c r="S109" s="5" t="s">
        <v>366</v>
      </c>
      <c r="T109" s="5"/>
      <c r="U109" s="5" t="s">
        <v>869</v>
      </c>
      <c r="V109" s="5" t="s">
        <v>366</v>
      </c>
      <c r="W109" s="5"/>
      <c r="X109" s="5" t="s">
        <v>870</v>
      </c>
      <c r="Y109" s="5" t="s">
        <v>366</v>
      </c>
      <c r="Z109" s="5"/>
      <c r="AA109" s="5" t="s">
        <v>871</v>
      </c>
      <c r="AB109" s="5" t="s">
        <v>366</v>
      </c>
      <c r="AC109" s="5"/>
      <c r="AD109" s="5" t="s">
        <v>872</v>
      </c>
      <c r="AE109" s="5" t="s">
        <v>366</v>
      </c>
      <c r="AF109" s="5"/>
      <c r="AG109" s="5" t="s">
        <v>873</v>
      </c>
      <c r="AH109" s="5" t="s">
        <v>713</v>
      </c>
    </row>
    <row r="110" spans="1:34" ht="13.5" customHeight="1">
      <c r="A110" s="4" t="s">
        <v>904</v>
      </c>
      <c r="B110" s="4" t="s">
        <v>53</v>
      </c>
      <c r="C110" s="4" t="s">
        <v>54</v>
      </c>
      <c r="D110" s="4" t="s">
        <v>859</v>
      </c>
      <c r="E110" s="4" t="s">
        <v>892</v>
      </c>
      <c r="F110" s="4" t="s">
        <v>699</v>
      </c>
      <c r="G110" s="4" t="s">
        <v>905</v>
      </c>
      <c r="H110" s="4" t="s">
        <v>906</v>
      </c>
      <c r="I110" s="4" t="s">
        <v>895</v>
      </c>
      <c r="J110" s="4" t="s">
        <v>896</v>
      </c>
      <c r="K110" s="4" t="s">
        <v>907</v>
      </c>
      <c r="L110" s="4" t="s">
        <v>898</v>
      </c>
      <c r="M110" s="4" t="s">
        <v>64</v>
      </c>
      <c r="N110" s="4" t="s">
        <v>551</v>
      </c>
      <c r="O110" s="4" t="s">
        <v>899</v>
      </c>
      <c r="P110" s="4" t="s">
        <v>366</v>
      </c>
      <c r="Q110" s="4"/>
      <c r="R110" s="4" t="s">
        <v>868</v>
      </c>
      <c r="S110" s="4" t="s">
        <v>366</v>
      </c>
      <c r="T110" s="4"/>
      <c r="U110" s="4" t="s">
        <v>869</v>
      </c>
      <c r="V110" s="4" t="s">
        <v>366</v>
      </c>
      <c r="W110" s="4"/>
      <c r="X110" s="4" t="s">
        <v>870</v>
      </c>
      <c r="Y110" s="4" t="s">
        <v>366</v>
      </c>
      <c r="Z110" s="4"/>
      <c r="AA110" s="4" t="s">
        <v>871</v>
      </c>
      <c r="AB110" s="4" t="s">
        <v>366</v>
      </c>
      <c r="AC110" s="4"/>
      <c r="AD110" s="4" t="s">
        <v>872</v>
      </c>
      <c r="AE110" s="4" t="s">
        <v>366</v>
      </c>
      <c r="AF110" s="4"/>
      <c r="AG110" s="4" t="s">
        <v>873</v>
      </c>
      <c r="AH110" s="4" t="s">
        <v>713</v>
      </c>
    </row>
    <row r="111" spans="1:34" ht="13.5" hidden="1" customHeight="1">
      <c r="A111" s="5" t="s">
        <v>908</v>
      </c>
      <c r="B111" s="5" t="s">
        <v>87</v>
      </c>
      <c r="C111" s="5" t="s">
        <v>54</v>
      </c>
      <c r="D111" s="5" t="s">
        <v>859</v>
      </c>
      <c r="E111" s="5" t="s">
        <v>892</v>
      </c>
      <c r="F111" s="5" t="s">
        <v>699</v>
      </c>
      <c r="G111" s="5" t="s">
        <v>909</v>
      </c>
      <c r="H111" s="5" t="s">
        <v>910</v>
      </c>
      <c r="I111" s="5" t="s">
        <v>911</v>
      </c>
      <c r="J111" s="5" t="s">
        <v>912</v>
      </c>
      <c r="K111" s="5" t="s">
        <v>913</v>
      </c>
      <c r="L111" s="5" t="s">
        <v>914</v>
      </c>
      <c r="M111" s="5" t="s">
        <v>377</v>
      </c>
      <c r="N111" s="5"/>
      <c r="O111" s="5"/>
      <c r="P111" s="5" t="s">
        <v>366</v>
      </c>
      <c r="Q111" s="5"/>
      <c r="R111" s="5" t="s">
        <v>915</v>
      </c>
      <c r="S111" s="5" t="s">
        <v>366</v>
      </c>
      <c r="T111" s="5"/>
      <c r="U111" s="5" t="s">
        <v>916</v>
      </c>
      <c r="V111" s="5" t="s">
        <v>366</v>
      </c>
      <c r="W111" s="5"/>
      <c r="X111" s="5" t="s">
        <v>917</v>
      </c>
      <c r="Y111" s="5" t="s">
        <v>366</v>
      </c>
      <c r="Z111" s="5"/>
      <c r="AA111" s="5" t="s">
        <v>918</v>
      </c>
      <c r="AB111" s="5" t="s">
        <v>366</v>
      </c>
      <c r="AC111" s="5"/>
      <c r="AD111" s="5" t="s">
        <v>919</v>
      </c>
      <c r="AE111" s="5" t="s">
        <v>366</v>
      </c>
      <c r="AF111" s="5"/>
      <c r="AG111" s="5" t="s">
        <v>920</v>
      </c>
      <c r="AH111" s="5" t="s">
        <v>849</v>
      </c>
    </row>
    <row r="112" spans="1:34" ht="13.5" customHeight="1">
      <c r="A112" s="4" t="s">
        <v>921</v>
      </c>
      <c r="B112" s="4" t="s">
        <v>53</v>
      </c>
      <c r="C112" s="4" t="s">
        <v>54</v>
      </c>
      <c r="D112" s="4" t="s">
        <v>859</v>
      </c>
      <c r="E112" s="4" t="s">
        <v>922</v>
      </c>
      <c r="F112" s="4" t="s">
        <v>699</v>
      </c>
      <c r="G112" s="4" t="s">
        <v>923</v>
      </c>
      <c r="H112" s="4" t="s">
        <v>924</v>
      </c>
      <c r="I112" s="4" t="s">
        <v>925</v>
      </c>
      <c r="J112" s="4" t="s">
        <v>926</v>
      </c>
      <c r="K112" s="4" t="s">
        <v>927</v>
      </c>
      <c r="L112" s="4" t="s">
        <v>928</v>
      </c>
      <c r="M112" s="4" t="s">
        <v>64</v>
      </c>
      <c r="N112" s="4" t="s">
        <v>551</v>
      </c>
      <c r="O112" s="4" t="s">
        <v>929</v>
      </c>
      <c r="P112" s="4" t="s">
        <v>366</v>
      </c>
      <c r="Q112" s="4"/>
      <c r="R112" s="4" t="s">
        <v>868</v>
      </c>
      <c r="S112" s="4" t="s">
        <v>366</v>
      </c>
      <c r="T112" s="4"/>
      <c r="U112" s="4" t="s">
        <v>869</v>
      </c>
      <c r="V112" s="4" t="s">
        <v>366</v>
      </c>
      <c r="W112" s="4"/>
      <c r="X112" s="4" t="s">
        <v>870</v>
      </c>
      <c r="Y112" s="4" t="s">
        <v>366</v>
      </c>
      <c r="Z112" s="4"/>
      <c r="AA112" s="4" t="s">
        <v>871</v>
      </c>
      <c r="AB112" s="4" t="s">
        <v>366</v>
      </c>
      <c r="AC112" s="4"/>
      <c r="AD112" s="4" t="s">
        <v>872</v>
      </c>
      <c r="AE112" s="4" t="s">
        <v>366</v>
      </c>
      <c r="AF112" s="4"/>
      <c r="AG112" s="4" t="s">
        <v>873</v>
      </c>
      <c r="AH112" s="4" t="s">
        <v>713</v>
      </c>
    </row>
    <row r="113" spans="1:34" ht="13.5" customHeight="1">
      <c r="A113" s="5" t="s">
        <v>930</v>
      </c>
      <c r="B113" s="5" t="s">
        <v>53</v>
      </c>
      <c r="C113" s="5" t="s">
        <v>54</v>
      </c>
      <c r="D113" s="5" t="s">
        <v>859</v>
      </c>
      <c r="E113" s="5" t="s">
        <v>922</v>
      </c>
      <c r="F113" s="5" t="s">
        <v>699</v>
      </c>
      <c r="G113" s="5" t="s">
        <v>931</v>
      </c>
      <c r="H113" s="5" t="s">
        <v>932</v>
      </c>
      <c r="I113" s="5" t="s">
        <v>925</v>
      </c>
      <c r="J113" s="5" t="s">
        <v>926</v>
      </c>
      <c r="K113" s="5" t="s">
        <v>933</v>
      </c>
      <c r="L113" s="5" t="s">
        <v>928</v>
      </c>
      <c r="M113" s="5" t="s">
        <v>64</v>
      </c>
      <c r="N113" s="5" t="s">
        <v>116</v>
      </c>
      <c r="O113" s="5" t="s">
        <v>929</v>
      </c>
      <c r="P113" s="5" t="s">
        <v>366</v>
      </c>
      <c r="Q113" s="5"/>
      <c r="R113" s="5" t="s">
        <v>868</v>
      </c>
      <c r="S113" s="5" t="s">
        <v>366</v>
      </c>
      <c r="T113" s="5"/>
      <c r="U113" s="5" t="s">
        <v>869</v>
      </c>
      <c r="V113" s="5" t="s">
        <v>366</v>
      </c>
      <c r="W113" s="5"/>
      <c r="X113" s="5" t="s">
        <v>870</v>
      </c>
      <c r="Y113" s="5" t="s">
        <v>366</v>
      </c>
      <c r="Z113" s="5"/>
      <c r="AA113" s="5" t="s">
        <v>871</v>
      </c>
      <c r="AB113" s="5" t="s">
        <v>366</v>
      </c>
      <c r="AC113" s="5"/>
      <c r="AD113" s="5" t="s">
        <v>872</v>
      </c>
      <c r="AE113" s="5" t="s">
        <v>366</v>
      </c>
      <c r="AF113" s="5"/>
      <c r="AG113" s="5" t="s">
        <v>873</v>
      </c>
      <c r="AH113" s="5" t="s">
        <v>713</v>
      </c>
    </row>
    <row r="114" spans="1:34" ht="13.5" customHeight="1">
      <c r="A114" s="4" t="s">
        <v>934</v>
      </c>
      <c r="B114" s="4" t="s">
        <v>53</v>
      </c>
      <c r="C114" s="4" t="s">
        <v>54</v>
      </c>
      <c r="D114" s="4" t="s">
        <v>859</v>
      </c>
      <c r="E114" s="4" t="s">
        <v>935</v>
      </c>
      <c r="F114" s="4" t="s">
        <v>57</v>
      </c>
      <c r="G114" s="4" t="s">
        <v>936</v>
      </c>
      <c r="H114" s="4" t="s">
        <v>937</v>
      </c>
      <c r="I114" s="4" t="s">
        <v>938</v>
      </c>
      <c r="J114" s="4" t="s">
        <v>939</v>
      </c>
      <c r="K114" s="4" t="s">
        <v>940</v>
      </c>
      <c r="L114" s="4" t="s">
        <v>941</v>
      </c>
      <c r="M114" s="4" t="s">
        <v>64</v>
      </c>
      <c r="N114" s="4" t="s">
        <v>116</v>
      </c>
      <c r="O114" s="4" t="s">
        <v>942</v>
      </c>
      <c r="P114" s="4" t="s">
        <v>943</v>
      </c>
      <c r="Q114" s="4" t="s">
        <v>68</v>
      </c>
      <c r="R114" s="4" t="s">
        <v>944</v>
      </c>
      <c r="S114" s="4" t="s">
        <v>945</v>
      </c>
      <c r="T114" s="4" t="s">
        <v>71</v>
      </c>
      <c r="U114" s="4" t="s">
        <v>946</v>
      </c>
      <c r="V114" s="4" t="s">
        <v>947</v>
      </c>
      <c r="W114" s="4" t="s">
        <v>948</v>
      </c>
      <c r="X114" s="4" t="s">
        <v>949</v>
      </c>
      <c r="Y114" s="4" t="s">
        <v>950</v>
      </c>
      <c r="Z114" s="4" t="s">
        <v>77</v>
      </c>
      <c r="AA114" s="4" t="s">
        <v>951</v>
      </c>
      <c r="AB114" s="4" t="s">
        <v>952</v>
      </c>
      <c r="AC114" s="4" t="s">
        <v>80</v>
      </c>
      <c r="AD114" s="4" t="s">
        <v>953</v>
      </c>
      <c r="AE114" s="4" t="s">
        <v>954</v>
      </c>
      <c r="AF114" s="4" t="s">
        <v>83</v>
      </c>
      <c r="AG114" s="4" t="s">
        <v>955</v>
      </c>
      <c r="AH114" s="4" t="s">
        <v>713</v>
      </c>
    </row>
    <row r="115" spans="1:34" ht="13.5" hidden="1" customHeight="1">
      <c r="A115" s="5" t="s">
        <v>956</v>
      </c>
      <c r="B115" s="5" t="s">
        <v>87</v>
      </c>
      <c r="C115" s="5" t="s">
        <v>54</v>
      </c>
      <c r="D115" s="5" t="s">
        <v>859</v>
      </c>
      <c r="E115" s="5" t="s">
        <v>935</v>
      </c>
      <c r="F115" s="5" t="s">
        <v>57</v>
      </c>
      <c r="G115" s="5" t="s">
        <v>957</v>
      </c>
      <c r="H115" s="5" t="s">
        <v>958</v>
      </c>
      <c r="I115" s="5" t="s">
        <v>959</v>
      </c>
      <c r="J115" s="5" t="s">
        <v>960</v>
      </c>
      <c r="K115" s="5" t="s">
        <v>961</v>
      </c>
      <c r="L115" s="5" t="s">
        <v>962</v>
      </c>
      <c r="M115" s="5" t="s">
        <v>64</v>
      </c>
      <c r="N115" s="5"/>
      <c r="O115" s="5"/>
      <c r="P115" s="5" t="s">
        <v>943</v>
      </c>
      <c r="Q115" s="5" t="s">
        <v>68</v>
      </c>
      <c r="R115" s="5" t="s">
        <v>963</v>
      </c>
      <c r="S115" s="5" t="s">
        <v>945</v>
      </c>
      <c r="T115" s="5" t="s">
        <v>71</v>
      </c>
      <c r="U115" s="5" t="s">
        <v>964</v>
      </c>
      <c r="V115" s="5" t="s">
        <v>947</v>
      </c>
      <c r="W115" s="5" t="s">
        <v>948</v>
      </c>
      <c r="X115" s="5" t="s">
        <v>965</v>
      </c>
      <c r="Y115" s="5" t="s">
        <v>950</v>
      </c>
      <c r="Z115" s="5" t="s">
        <v>77</v>
      </c>
      <c r="AA115" s="5" t="s">
        <v>966</v>
      </c>
      <c r="AB115" s="5" t="s">
        <v>952</v>
      </c>
      <c r="AC115" s="5" t="s">
        <v>80</v>
      </c>
      <c r="AD115" s="5" t="s">
        <v>967</v>
      </c>
      <c r="AE115" s="5" t="s">
        <v>954</v>
      </c>
      <c r="AF115" s="5" t="s">
        <v>83</v>
      </c>
      <c r="AG115" s="5" t="s">
        <v>968</v>
      </c>
      <c r="AH115" s="5" t="s">
        <v>849</v>
      </c>
    </row>
    <row r="116" spans="1:34" ht="13.5" customHeight="1">
      <c r="A116" s="4" t="s">
        <v>969</v>
      </c>
      <c r="B116" s="4" t="s">
        <v>53</v>
      </c>
      <c r="C116" s="4" t="s">
        <v>54</v>
      </c>
      <c r="D116" s="4" t="s">
        <v>859</v>
      </c>
      <c r="E116" s="4" t="s">
        <v>935</v>
      </c>
      <c r="F116" s="4" t="s">
        <v>57</v>
      </c>
      <c r="G116" s="4" t="s">
        <v>970</v>
      </c>
      <c r="H116" s="4" t="s">
        <v>971</v>
      </c>
      <c r="I116" s="4" t="s">
        <v>938</v>
      </c>
      <c r="J116" s="4" t="s">
        <v>939</v>
      </c>
      <c r="K116" s="4" t="s">
        <v>972</v>
      </c>
      <c r="L116" s="4" t="s">
        <v>941</v>
      </c>
      <c r="M116" s="4" t="s">
        <v>64</v>
      </c>
      <c r="N116" s="4" t="s">
        <v>551</v>
      </c>
      <c r="O116" s="4" t="s">
        <v>942</v>
      </c>
      <c r="P116" s="4" t="s">
        <v>943</v>
      </c>
      <c r="Q116" s="4" t="s">
        <v>68</v>
      </c>
      <c r="R116" s="4" t="s">
        <v>944</v>
      </c>
      <c r="S116" s="4" t="s">
        <v>945</v>
      </c>
      <c r="T116" s="4" t="s">
        <v>71</v>
      </c>
      <c r="U116" s="4" t="s">
        <v>946</v>
      </c>
      <c r="V116" s="4" t="s">
        <v>947</v>
      </c>
      <c r="W116" s="4" t="s">
        <v>948</v>
      </c>
      <c r="X116" s="4" t="s">
        <v>949</v>
      </c>
      <c r="Y116" s="4" t="s">
        <v>950</v>
      </c>
      <c r="Z116" s="4" t="s">
        <v>77</v>
      </c>
      <c r="AA116" s="4" t="s">
        <v>951</v>
      </c>
      <c r="AB116" s="4" t="s">
        <v>952</v>
      </c>
      <c r="AC116" s="4" t="s">
        <v>80</v>
      </c>
      <c r="AD116" s="4" t="s">
        <v>953</v>
      </c>
      <c r="AE116" s="4" t="s">
        <v>954</v>
      </c>
      <c r="AF116" s="4" t="s">
        <v>83</v>
      </c>
      <c r="AG116" s="4" t="s">
        <v>955</v>
      </c>
      <c r="AH116" s="4" t="s">
        <v>713</v>
      </c>
    </row>
    <row r="117" spans="1:34" ht="13.5" customHeight="1">
      <c r="A117" s="5" t="s">
        <v>973</v>
      </c>
      <c r="B117" s="5" t="s">
        <v>53</v>
      </c>
      <c r="C117" s="5" t="s">
        <v>54</v>
      </c>
      <c r="D117" s="5" t="s">
        <v>859</v>
      </c>
      <c r="E117" s="5" t="s">
        <v>935</v>
      </c>
      <c r="F117" s="5" t="s">
        <v>57</v>
      </c>
      <c r="G117" s="5" t="s">
        <v>974</v>
      </c>
      <c r="H117" s="5" t="s">
        <v>975</v>
      </c>
      <c r="I117" s="5" t="s">
        <v>938</v>
      </c>
      <c r="J117" s="5" t="s">
        <v>939</v>
      </c>
      <c r="K117" s="5" t="s">
        <v>976</v>
      </c>
      <c r="L117" s="5" t="s">
        <v>941</v>
      </c>
      <c r="M117" s="5" t="s">
        <v>64</v>
      </c>
      <c r="N117" s="5" t="s">
        <v>65</v>
      </c>
      <c r="O117" s="5" t="s">
        <v>942</v>
      </c>
      <c r="P117" s="5" t="s">
        <v>943</v>
      </c>
      <c r="Q117" s="5" t="s">
        <v>68</v>
      </c>
      <c r="R117" s="5" t="s">
        <v>944</v>
      </c>
      <c r="S117" s="5" t="s">
        <v>945</v>
      </c>
      <c r="T117" s="5" t="s">
        <v>71</v>
      </c>
      <c r="U117" s="5" t="s">
        <v>946</v>
      </c>
      <c r="V117" s="5" t="s">
        <v>947</v>
      </c>
      <c r="W117" s="5" t="s">
        <v>948</v>
      </c>
      <c r="X117" s="5" t="s">
        <v>949</v>
      </c>
      <c r="Y117" s="5" t="s">
        <v>950</v>
      </c>
      <c r="Z117" s="5" t="s">
        <v>77</v>
      </c>
      <c r="AA117" s="5" t="s">
        <v>951</v>
      </c>
      <c r="AB117" s="5" t="s">
        <v>952</v>
      </c>
      <c r="AC117" s="5" t="s">
        <v>80</v>
      </c>
      <c r="AD117" s="5" t="s">
        <v>953</v>
      </c>
      <c r="AE117" s="5" t="s">
        <v>954</v>
      </c>
      <c r="AF117" s="5" t="s">
        <v>83</v>
      </c>
      <c r="AG117" s="5" t="s">
        <v>955</v>
      </c>
      <c r="AH117" s="5" t="s">
        <v>713</v>
      </c>
    </row>
    <row r="118" spans="1:34" ht="13.5" customHeight="1">
      <c r="A118" s="4" t="s">
        <v>977</v>
      </c>
      <c r="B118" s="4" t="s">
        <v>53</v>
      </c>
      <c r="C118" s="4" t="s">
        <v>54</v>
      </c>
      <c r="D118" s="4" t="s">
        <v>859</v>
      </c>
      <c r="E118" s="4" t="s">
        <v>935</v>
      </c>
      <c r="F118" s="4" t="s">
        <v>57</v>
      </c>
      <c r="G118" s="4" t="s">
        <v>978</v>
      </c>
      <c r="H118" s="4" t="s">
        <v>979</v>
      </c>
      <c r="I118" s="4" t="s">
        <v>938</v>
      </c>
      <c r="J118" s="4" t="s">
        <v>939</v>
      </c>
      <c r="K118" s="4" t="s">
        <v>980</v>
      </c>
      <c r="L118" s="4" t="s">
        <v>941</v>
      </c>
      <c r="M118" s="4" t="s">
        <v>64</v>
      </c>
      <c r="N118" s="4" t="s">
        <v>116</v>
      </c>
      <c r="O118" s="4" t="s">
        <v>942</v>
      </c>
      <c r="P118" s="4" t="s">
        <v>943</v>
      </c>
      <c r="Q118" s="4" t="s">
        <v>68</v>
      </c>
      <c r="R118" s="4" t="s">
        <v>944</v>
      </c>
      <c r="S118" s="4" t="s">
        <v>945</v>
      </c>
      <c r="T118" s="4" t="s">
        <v>71</v>
      </c>
      <c r="U118" s="4" t="s">
        <v>946</v>
      </c>
      <c r="V118" s="4" t="s">
        <v>947</v>
      </c>
      <c r="W118" s="4" t="s">
        <v>948</v>
      </c>
      <c r="X118" s="4" t="s">
        <v>949</v>
      </c>
      <c r="Y118" s="4" t="s">
        <v>950</v>
      </c>
      <c r="Z118" s="4" t="s">
        <v>77</v>
      </c>
      <c r="AA118" s="4" t="s">
        <v>951</v>
      </c>
      <c r="AB118" s="4" t="s">
        <v>952</v>
      </c>
      <c r="AC118" s="4" t="s">
        <v>80</v>
      </c>
      <c r="AD118" s="4" t="s">
        <v>953</v>
      </c>
      <c r="AE118" s="4" t="s">
        <v>954</v>
      </c>
      <c r="AF118" s="4" t="s">
        <v>83</v>
      </c>
      <c r="AG118" s="4" t="s">
        <v>955</v>
      </c>
      <c r="AH118" s="4" t="s">
        <v>713</v>
      </c>
    </row>
    <row r="119" spans="1:34" ht="13.5" customHeight="1">
      <c r="A119" s="5" t="s">
        <v>981</v>
      </c>
      <c r="B119" s="5" t="s">
        <v>53</v>
      </c>
      <c r="C119" s="5" t="s">
        <v>54</v>
      </c>
      <c r="D119" s="5" t="s">
        <v>859</v>
      </c>
      <c r="E119" s="5" t="s">
        <v>935</v>
      </c>
      <c r="F119" s="5" t="s">
        <v>57</v>
      </c>
      <c r="G119" s="5" t="s">
        <v>982</v>
      </c>
      <c r="H119" s="5" t="s">
        <v>983</v>
      </c>
      <c r="I119" s="5" t="s">
        <v>938</v>
      </c>
      <c r="J119" s="5" t="s">
        <v>939</v>
      </c>
      <c r="K119" s="5" t="s">
        <v>984</v>
      </c>
      <c r="L119" s="5" t="s">
        <v>941</v>
      </c>
      <c r="M119" s="5" t="s">
        <v>64</v>
      </c>
      <c r="N119" s="5" t="s">
        <v>116</v>
      </c>
      <c r="O119" s="5" t="s">
        <v>942</v>
      </c>
      <c r="P119" s="5" t="s">
        <v>943</v>
      </c>
      <c r="Q119" s="5" t="s">
        <v>68</v>
      </c>
      <c r="R119" s="5" t="s">
        <v>944</v>
      </c>
      <c r="S119" s="5" t="s">
        <v>945</v>
      </c>
      <c r="T119" s="5" t="s">
        <v>71</v>
      </c>
      <c r="U119" s="5" t="s">
        <v>946</v>
      </c>
      <c r="V119" s="5" t="s">
        <v>947</v>
      </c>
      <c r="W119" s="5" t="s">
        <v>948</v>
      </c>
      <c r="X119" s="5" t="s">
        <v>949</v>
      </c>
      <c r="Y119" s="5" t="s">
        <v>950</v>
      </c>
      <c r="Z119" s="5" t="s">
        <v>77</v>
      </c>
      <c r="AA119" s="5" t="s">
        <v>951</v>
      </c>
      <c r="AB119" s="5" t="s">
        <v>952</v>
      </c>
      <c r="AC119" s="5" t="s">
        <v>80</v>
      </c>
      <c r="AD119" s="5" t="s">
        <v>953</v>
      </c>
      <c r="AE119" s="5" t="s">
        <v>954</v>
      </c>
      <c r="AF119" s="5" t="s">
        <v>83</v>
      </c>
      <c r="AG119" s="5" t="s">
        <v>955</v>
      </c>
      <c r="AH119" s="5" t="s">
        <v>713</v>
      </c>
    </row>
    <row r="120" spans="1:34" ht="13.5" customHeight="1">
      <c r="A120" s="4" t="s">
        <v>985</v>
      </c>
      <c r="B120" s="4" t="s">
        <v>53</v>
      </c>
      <c r="C120" s="4" t="s">
        <v>54</v>
      </c>
      <c r="D120" s="4" t="s">
        <v>859</v>
      </c>
      <c r="E120" s="4" t="s">
        <v>935</v>
      </c>
      <c r="F120" s="4" t="s">
        <v>57</v>
      </c>
      <c r="G120" s="4" t="s">
        <v>986</v>
      </c>
      <c r="H120" s="4" t="s">
        <v>987</v>
      </c>
      <c r="I120" s="4" t="s">
        <v>938</v>
      </c>
      <c r="J120" s="4" t="s">
        <v>939</v>
      </c>
      <c r="K120" s="4" t="s">
        <v>988</v>
      </c>
      <c r="L120" s="4" t="s">
        <v>941</v>
      </c>
      <c r="M120" s="4" t="s">
        <v>64</v>
      </c>
      <c r="N120" s="4" t="s">
        <v>116</v>
      </c>
      <c r="O120" s="4" t="s">
        <v>942</v>
      </c>
      <c r="P120" s="4" t="s">
        <v>943</v>
      </c>
      <c r="Q120" s="4" t="s">
        <v>68</v>
      </c>
      <c r="R120" s="4" t="s">
        <v>944</v>
      </c>
      <c r="S120" s="4" t="s">
        <v>945</v>
      </c>
      <c r="T120" s="4" t="s">
        <v>71</v>
      </c>
      <c r="U120" s="4" t="s">
        <v>946</v>
      </c>
      <c r="V120" s="4" t="s">
        <v>947</v>
      </c>
      <c r="W120" s="4" t="s">
        <v>948</v>
      </c>
      <c r="X120" s="4" t="s">
        <v>949</v>
      </c>
      <c r="Y120" s="4" t="s">
        <v>950</v>
      </c>
      <c r="Z120" s="4" t="s">
        <v>77</v>
      </c>
      <c r="AA120" s="4" t="s">
        <v>951</v>
      </c>
      <c r="AB120" s="4" t="s">
        <v>952</v>
      </c>
      <c r="AC120" s="4" t="s">
        <v>80</v>
      </c>
      <c r="AD120" s="4" t="s">
        <v>953</v>
      </c>
      <c r="AE120" s="4" t="s">
        <v>954</v>
      </c>
      <c r="AF120" s="4" t="s">
        <v>83</v>
      </c>
      <c r="AG120" s="4" t="s">
        <v>955</v>
      </c>
      <c r="AH120" s="4" t="s">
        <v>713</v>
      </c>
    </row>
    <row r="121" spans="1:34" ht="13.5" customHeight="1">
      <c r="A121" s="5" t="s">
        <v>989</v>
      </c>
      <c r="B121" s="5" t="s">
        <v>53</v>
      </c>
      <c r="C121" s="5" t="s">
        <v>54</v>
      </c>
      <c r="D121" s="5" t="s">
        <v>859</v>
      </c>
      <c r="E121" s="5" t="s">
        <v>935</v>
      </c>
      <c r="F121" s="5" t="s">
        <v>57</v>
      </c>
      <c r="G121" s="5" t="s">
        <v>990</v>
      </c>
      <c r="H121" s="5" t="s">
        <v>991</v>
      </c>
      <c r="I121" s="5" t="s">
        <v>938</v>
      </c>
      <c r="J121" s="5" t="s">
        <v>939</v>
      </c>
      <c r="K121" s="5" t="s">
        <v>992</v>
      </c>
      <c r="L121" s="5" t="s">
        <v>941</v>
      </c>
      <c r="M121" s="5" t="s">
        <v>64</v>
      </c>
      <c r="N121" s="5" t="s">
        <v>116</v>
      </c>
      <c r="O121" s="5" t="s">
        <v>942</v>
      </c>
      <c r="P121" s="5" t="s">
        <v>943</v>
      </c>
      <c r="Q121" s="5" t="s">
        <v>68</v>
      </c>
      <c r="R121" s="5" t="s">
        <v>944</v>
      </c>
      <c r="S121" s="5" t="s">
        <v>945</v>
      </c>
      <c r="T121" s="5" t="s">
        <v>71</v>
      </c>
      <c r="U121" s="5" t="s">
        <v>946</v>
      </c>
      <c r="V121" s="5" t="s">
        <v>947</v>
      </c>
      <c r="W121" s="5" t="s">
        <v>948</v>
      </c>
      <c r="X121" s="5" t="s">
        <v>949</v>
      </c>
      <c r="Y121" s="5" t="s">
        <v>950</v>
      </c>
      <c r="Z121" s="5" t="s">
        <v>77</v>
      </c>
      <c r="AA121" s="5" t="s">
        <v>951</v>
      </c>
      <c r="AB121" s="5" t="s">
        <v>952</v>
      </c>
      <c r="AC121" s="5" t="s">
        <v>80</v>
      </c>
      <c r="AD121" s="5" t="s">
        <v>953</v>
      </c>
      <c r="AE121" s="5" t="s">
        <v>954</v>
      </c>
      <c r="AF121" s="5" t="s">
        <v>83</v>
      </c>
      <c r="AG121" s="5" t="s">
        <v>955</v>
      </c>
      <c r="AH121" s="5" t="s">
        <v>713</v>
      </c>
    </row>
    <row r="122" spans="1:34" ht="13.5" customHeight="1">
      <c r="A122" s="4" t="s">
        <v>993</v>
      </c>
      <c r="B122" s="4" t="s">
        <v>53</v>
      </c>
      <c r="C122" s="4" t="s">
        <v>54</v>
      </c>
      <c r="D122" s="4" t="s">
        <v>994</v>
      </c>
      <c r="E122" s="4" t="s">
        <v>995</v>
      </c>
      <c r="F122" s="4" t="s">
        <v>358</v>
      </c>
      <c r="G122" s="4" t="s">
        <v>996</v>
      </c>
      <c r="H122" s="4" t="s">
        <v>997</v>
      </c>
      <c r="I122" s="4" t="s">
        <v>998</v>
      </c>
      <c r="J122" s="4" t="s">
        <v>999</v>
      </c>
      <c r="K122" s="4" t="s">
        <v>1000</v>
      </c>
      <c r="L122" s="4" t="s">
        <v>1001</v>
      </c>
      <c r="M122" s="4" t="s">
        <v>94</v>
      </c>
      <c r="N122" s="4" t="s">
        <v>116</v>
      </c>
      <c r="O122" s="4" t="s">
        <v>1002</v>
      </c>
      <c r="P122" s="4" t="s">
        <v>366</v>
      </c>
      <c r="Q122" s="4"/>
      <c r="R122" s="4" t="s">
        <v>367</v>
      </c>
      <c r="S122" s="4" t="s">
        <v>366</v>
      </c>
      <c r="T122" s="4"/>
      <c r="U122" s="4" t="s">
        <v>367</v>
      </c>
      <c r="V122" s="4" t="s">
        <v>366</v>
      </c>
      <c r="W122" s="4"/>
      <c r="X122" s="4" t="s">
        <v>367</v>
      </c>
      <c r="Y122" s="4" t="s">
        <v>366</v>
      </c>
      <c r="Z122" s="4"/>
      <c r="AA122" s="4" t="s">
        <v>367</v>
      </c>
      <c r="AB122" s="4" t="s">
        <v>366</v>
      </c>
      <c r="AC122" s="4"/>
      <c r="AD122" s="4" t="s">
        <v>367</v>
      </c>
      <c r="AE122" s="4" t="s">
        <v>366</v>
      </c>
      <c r="AF122" s="4"/>
      <c r="AG122" s="4" t="s">
        <v>367</v>
      </c>
      <c r="AH122" s="4" t="s">
        <v>713</v>
      </c>
    </row>
    <row r="123" spans="1:34" ht="13.5" customHeight="1">
      <c r="A123" s="5" t="s">
        <v>1003</v>
      </c>
      <c r="B123" s="5" t="s">
        <v>53</v>
      </c>
      <c r="C123" s="5" t="s">
        <v>54</v>
      </c>
      <c r="D123" s="5" t="s">
        <v>994</v>
      </c>
      <c r="E123" s="5" t="s">
        <v>995</v>
      </c>
      <c r="F123" s="5" t="s">
        <v>358</v>
      </c>
      <c r="G123" s="5" t="s">
        <v>1004</v>
      </c>
      <c r="H123" s="5" t="s">
        <v>1005</v>
      </c>
      <c r="I123" s="5" t="s">
        <v>998</v>
      </c>
      <c r="J123" s="5" t="s">
        <v>999</v>
      </c>
      <c r="K123" s="5" t="s">
        <v>1006</v>
      </c>
      <c r="L123" s="5" t="s">
        <v>1001</v>
      </c>
      <c r="M123" s="5" t="s">
        <v>94</v>
      </c>
      <c r="N123" s="5" t="s">
        <v>116</v>
      </c>
      <c r="O123" s="5" t="s">
        <v>1002</v>
      </c>
      <c r="P123" s="5" t="s">
        <v>366</v>
      </c>
      <c r="Q123" s="5"/>
      <c r="R123" s="5" t="s">
        <v>367</v>
      </c>
      <c r="S123" s="5" t="s">
        <v>366</v>
      </c>
      <c r="T123" s="5"/>
      <c r="U123" s="5" t="s">
        <v>367</v>
      </c>
      <c r="V123" s="5" t="s">
        <v>366</v>
      </c>
      <c r="W123" s="5"/>
      <c r="X123" s="5" t="s">
        <v>367</v>
      </c>
      <c r="Y123" s="5" t="s">
        <v>366</v>
      </c>
      <c r="Z123" s="5"/>
      <c r="AA123" s="5" t="s">
        <v>367</v>
      </c>
      <c r="AB123" s="5" t="s">
        <v>366</v>
      </c>
      <c r="AC123" s="5"/>
      <c r="AD123" s="5" t="s">
        <v>367</v>
      </c>
      <c r="AE123" s="5" t="s">
        <v>366</v>
      </c>
      <c r="AF123" s="5"/>
      <c r="AG123" s="5" t="s">
        <v>367</v>
      </c>
      <c r="AH123" s="5" t="s">
        <v>713</v>
      </c>
    </row>
    <row r="124" spans="1:34" ht="13.5" customHeight="1">
      <c r="A124" s="4" t="s">
        <v>1007</v>
      </c>
      <c r="B124" s="4" t="s">
        <v>53</v>
      </c>
      <c r="C124" s="4" t="s">
        <v>54</v>
      </c>
      <c r="D124" s="4" t="s">
        <v>994</v>
      </c>
      <c r="E124" s="4" t="s">
        <v>995</v>
      </c>
      <c r="F124" s="4" t="s">
        <v>358</v>
      </c>
      <c r="G124" s="4" t="s">
        <v>1008</v>
      </c>
      <c r="H124" s="4" t="s">
        <v>1009</v>
      </c>
      <c r="I124" s="4" t="s">
        <v>998</v>
      </c>
      <c r="J124" s="4" t="s">
        <v>999</v>
      </c>
      <c r="K124" s="4" t="s">
        <v>1010</v>
      </c>
      <c r="L124" s="4" t="s">
        <v>1001</v>
      </c>
      <c r="M124" s="4" t="s">
        <v>94</v>
      </c>
      <c r="N124" s="4" t="s">
        <v>116</v>
      </c>
      <c r="O124" s="4" t="s">
        <v>1002</v>
      </c>
      <c r="P124" s="4" t="s">
        <v>366</v>
      </c>
      <c r="Q124" s="4"/>
      <c r="R124" s="4" t="s">
        <v>367</v>
      </c>
      <c r="S124" s="4" t="s">
        <v>366</v>
      </c>
      <c r="T124" s="4"/>
      <c r="U124" s="4" t="s">
        <v>367</v>
      </c>
      <c r="V124" s="4" t="s">
        <v>366</v>
      </c>
      <c r="W124" s="4"/>
      <c r="X124" s="4" t="s">
        <v>367</v>
      </c>
      <c r="Y124" s="4" t="s">
        <v>366</v>
      </c>
      <c r="Z124" s="4"/>
      <c r="AA124" s="4" t="s">
        <v>367</v>
      </c>
      <c r="AB124" s="4" t="s">
        <v>366</v>
      </c>
      <c r="AC124" s="4"/>
      <c r="AD124" s="4" t="s">
        <v>367</v>
      </c>
      <c r="AE124" s="4" t="s">
        <v>366</v>
      </c>
      <c r="AF124" s="4"/>
      <c r="AG124" s="4" t="s">
        <v>367</v>
      </c>
      <c r="AH124" s="4" t="s">
        <v>713</v>
      </c>
    </row>
    <row r="125" spans="1:34" ht="13.5" customHeight="1">
      <c r="A125" s="5" t="s">
        <v>1011</v>
      </c>
      <c r="B125" s="5" t="s">
        <v>53</v>
      </c>
      <c r="C125" s="5" t="s">
        <v>54</v>
      </c>
      <c r="D125" s="5" t="s">
        <v>994</v>
      </c>
      <c r="E125" s="5" t="s">
        <v>1012</v>
      </c>
      <c r="F125" s="5" t="s">
        <v>358</v>
      </c>
      <c r="G125" s="5" t="s">
        <v>1013</v>
      </c>
      <c r="H125" s="5" t="s">
        <v>1014</v>
      </c>
      <c r="I125" s="5" t="s">
        <v>1015</v>
      </c>
      <c r="J125" s="5" t="s">
        <v>1016</v>
      </c>
      <c r="K125" s="5" t="s">
        <v>1017</v>
      </c>
      <c r="L125" s="5" t="s">
        <v>1018</v>
      </c>
      <c r="M125" s="5" t="s">
        <v>94</v>
      </c>
      <c r="N125" s="5" t="s">
        <v>551</v>
      </c>
      <c r="O125" s="5" t="s">
        <v>1019</v>
      </c>
      <c r="P125" s="5" t="s">
        <v>366</v>
      </c>
      <c r="Q125" s="5"/>
      <c r="R125" s="5" t="s">
        <v>367</v>
      </c>
      <c r="S125" s="5" t="s">
        <v>366</v>
      </c>
      <c r="T125" s="5"/>
      <c r="U125" s="5" t="s">
        <v>367</v>
      </c>
      <c r="V125" s="5" t="s">
        <v>366</v>
      </c>
      <c r="W125" s="5"/>
      <c r="X125" s="5" t="s">
        <v>367</v>
      </c>
      <c r="Y125" s="5" t="s">
        <v>366</v>
      </c>
      <c r="Z125" s="5"/>
      <c r="AA125" s="5" t="s">
        <v>367</v>
      </c>
      <c r="AB125" s="5" t="s">
        <v>366</v>
      </c>
      <c r="AC125" s="5"/>
      <c r="AD125" s="5" t="s">
        <v>367</v>
      </c>
      <c r="AE125" s="5" t="s">
        <v>366</v>
      </c>
      <c r="AF125" s="5"/>
      <c r="AG125" s="5" t="s">
        <v>367</v>
      </c>
      <c r="AH125" s="5" t="s">
        <v>713</v>
      </c>
    </row>
    <row r="126" spans="1:34" ht="13.5" customHeight="1">
      <c r="A126" s="4" t="s">
        <v>1020</v>
      </c>
      <c r="B126" s="4" t="s">
        <v>53</v>
      </c>
      <c r="C126" s="4" t="s">
        <v>54</v>
      </c>
      <c r="D126" s="4" t="s">
        <v>994</v>
      </c>
      <c r="E126" s="4" t="s">
        <v>1012</v>
      </c>
      <c r="F126" s="4" t="s">
        <v>358</v>
      </c>
      <c r="G126" s="4" t="s">
        <v>1021</v>
      </c>
      <c r="H126" s="4" t="s">
        <v>1022</v>
      </c>
      <c r="I126" s="4" t="s">
        <v>1015</v>
      </c>
      <c r="J126" s="4" t="s">
        <v>1016</v>
      </c>
      <c r="K126" s="4" t="s">
        <v>1023</v>
      </c>
      <c r="L126" s="4" t="s">
        <v>1018</v>
      </c>
      <c r="M126" s="4" t="s">
        <v>94</v>
      </c>
      <c r="N126" s="4" t="s">
        <v>551</v>
      </c>
      <c r="O126" s="4" t="s">
        <v>1019</v>
      </c>
      <c r="P126" s="4" t="s">
        <v>366</v>
      </c>
      <c r="Q126" s="4"/>
      <c r="R126" s="4" t="s">
        <v>367</v>
      </c>
      <c r="S126" s="4" t="s">
        <v>366</v>
      </c>
      <c r="T126" s="4"/>
      <c r="U126" s="4" t="s">
        <v>367</v>
      </c>
      <c r="V126" s="4" t="s">
        <v>366</v>
      </c>
      <c r="W126" s="4"/>
      <c r="X126" s="4" t="s">
        <v>367</v>
      </c>
      <c r="Y126" s="4" t="s">
        <v>366</v>
      </c>
      <c r="Z126" s="4"/>
      <c r="AA126" s="4" t="s">
        <v>367</v>
      </c>
      <c r="AB126" s="4" t="s">
        <v>366</v>
      </c>
      <c r="AC126" s="4"/>
      <c r="AD126" s="4" t="s">
        <v>367</v>
      </c>
      <c r="AE126" s="4" t="s">
        <v>366</v>
      </c>
      <c r="AF126" s="4"/>
      <c r="AG126" s="4" t="s">
        <v>367</v>
      </c>
      <c r="AH126" s="4" t="s">
        <v>713</v>
      </c>
    </row>
    <row r="127" spans="1:34" ht="13.5" customHeight="1">
      <c r="A127" s="5" t="s">
        <v>1024</v>
      </c>
      <c r="B127" s="5" t="s">
        <v>53</v>
      </c>
      <c r="C127" s="5" t="s">
        <v>54</v>
      </c>
      <c r="D127" s="5" t="s">
        <v>994</v>
      </c>
      <c r="E127" s="5" t="s">
        <v>1025</v>
      </c>
      <c r="F127" s="5" t="s">
        <v>358</v>
      </c>
      <c r="G127" s="5" t="s">
        <v>1026</v>
      </c>
      <c r="H127" s="5" t="s">
        <v>1027</v>
      </c>
      <c r="I127" s="5" t="s">
        <v>1028</v>
      </c>
      <c r="J127" s="5" t="s">
        <v>1029</v>
      </c>
      <c r="K127" s="5" t="s">
        <v>1030</v>
      </c>
      <c r="L127" s="5" t="s">
        <v>1031</v>
      </c>
      <c r="M127" s="5" t="s">
        <v>94</v>
      </c>
      <c r="N127" s="5" t="s">
        <v>1032</v>
      </c>
      <c r="O127" s="5" t="s">
        <v>1033</v>
      </c>
      <c r="P127" s="5" t="s">
        <v>366</v>
      </c>
      <c r="Q127" s="5"/>
      <c r="R127" s="5" t="s">
        <v>367</v>
      </c>
      <c r="S127" s="5" t="s">
        <v>366</v>
      </c>
      <c r="T127" s="5"/>
      <c r="U127" s="5" t="s">
        <v>367</v>
      </c>
      <c r="V127" s="5" t="s">
        <v>366</v>
      </c>
      <c r="W127" s="5"/>
      <c r="X127" s="5" t="s">
        <v>367</v>
      </c>
      <c r="Y127" s="5" t="s">
        <v>366</v>
      </c>
      <c r="Z127" s="5"/>
      <c r="AA127" s="5" t="s">
        <v>367</v>
      </c>
      <c r="AB127" s="5" t="s">
        <v>366</v>
      </c>
      <c r="AC127" s="5"/>
      <c r="AD127" s="5" t="s">
        <v>367</v>
      </c>
      <c r="AE127" s="5" t="s">
        <v>366</v>
      </c>
      <c r="AF127" s="5"/>
      <c r="AG127" s="5" t="s">
        <v>367</v>
      </c>
      <c r="AH127" s="5" t="s">
        <v>713</v>
      </c>
    </row>
    <row r="128" spans="1:34" ht="13.5" customHeight="1">
      <c r="A128" s="4" t="s">
        <v>1034</v>
      </c>
      <c r="B128" s="4" t="s">
        <v>53</v>
      </c>
      <c r="C128" s="4" t="s">
        <v>54</v>
      </c>
      <c r="D128" s="4" t="s">
        <v>994</v>
      </c>
      <c r="E128" s="4" t="s">
        <v>1025</v>
      </c>
      <c r="F128" s="4" t="s">
        <v>358</v>
      </c>
      <c r="G128" s="4" t="s">
        <v>1035</v>
      </c>
      <c r="H128" s="4" t="s">
        <v>1036</v>
      </c>
      <c r="I128" s="4" t="s">
        <v>1028</v>
      </c>
      <c r="J128" s="4" t="s">
        <v>1029</v>
      </c>
      <c r="K128" s="4" t="s">
        <v>1037</v>
      </c>
      <c r="L128" s="4" t="s">
        <v>1031</v>
      </c>
      <c r="M128" s="4" t="s">
        <v>94</v>
      </c>
      <c r="N128" s="4" t="s">
        <v>1038</v>
      </c>
      <c r="O128" s="4" t="s">
        <v>1033</v>
      </c>
      <c r="P128" s="4" t="s">
        <v>366</v>
      </c>
      <c r="Q128" s="4"/>
      <c r="R128" s="4" t="s">
        <v>367</v>
      </c>
      <c r="S128" s="4" t="s">
        <v>366</v>
      </c>
      <c r="T128" s="4"/>
      <c r="U128" s="4" t="s">
        <v>367</v>
      </c>
      <c r="V128" s="4" t="s">
        <v>366</v>
      </c>
      <c r="W128" s="4"/>
      <c r="X128" s="4" t="s">
        <v>367</v>
      </c>
      <c r="Y128" s="4" t="s">
        <v>366</v>
      </c>
      <c r="Z128" s="4"/>
      <c r="AA128" s="4" t="s">
        <v>367</v>
      </c>
      <c r="AB128" s="4" t="s">
        <v>366</v>
      </c>
      <c r="AC128" s="4"/>
      <c r="AD128" s="4" t="s">
        <v>367</v>
      </c>
      <c r="AE128" s="4" t="s">
        <v>366</v>
      </c>
      <c r="AF128" s="4"/>
      <c r="AG128" s="4" t="s">
        <v>367</v>
      </c>
      <c r="AH128" s="4" t="s">
        <v>713</v>
      </c>
    </row>
    <row r="129" spans="1:34" ht="13.5" customHeight="1">
      <c r="A129" s="5" t="s">
        <v>1039</v>
      </c>
      <c r="B129" s="5" t="s">
        <v>53</v>
      </c>
      <c r="C129" s="5" t="s">
        <v>54</v>
      </c>
      <c r="D129" s="5" t="s">
        <v>994</v>
      </c>
      <c r="E129" s="5" t="s">
        <v>1040</v>
      </c>
      <c r="F129" s="5" t="s">
        <v>358</v>
      </c>
      <c r="G129" s="5" t="s">
        <v>1041</v>
      </c>
      <c r="H129" s="5" t="s">
        <v>1042</v>
      </c>
      <c r="I129" s="5" t="s">
        <v>1043</v>
      </c>
      <c r="J129" s="5" t="s">
        <v>1044</v>
      </c>
      <c r="K129" s="5" t="s">
        <v>1045</v>
      </c>
      <c r="L129" s="5" t="s">
        <v>1046</v>
      </c>
      <c r="M129" s="5" t="s">
        <v>94</v>
      </c>
      <c r="N129" s="5" t="s">
        <v>116</v>
      </c>
      <c r="O129" s="5" t="s">
        <v>1047</v>
      </c>
      <c r="P129" s="5" t="s">
        <v>366</v>
      </c>
      <c r="Q129" s="5"/>
      <c r="R129" s="5" t="s">
        <v>367</v>
      </c>
      <c r="S129" s="5" t="s">
        <v>366</v>
      </c>
      <c r="T129" s="5"/>
      <c r="U129" s="5" t="s">
        <v>367</v>
      </c>
      <c r="V129" s="5" t="s">
        <v>366</v>
      </c>
      <c r="W129" s="5"/>
      <c r="X129" s="5" t="s">
        <v>367</v>
      </c>
      <c r="Y129" s="5" t="s">
        <v>366</v>
      </c>
      <c r="Z129" s="5"/>
      <c r="AA129" s="5" t="s">
        <v>367</v>
      </c>
      <c r="AB129" s="5" t="s">
        <v>366</v>
      </c>
      <c r="AC129" s="5"/>
      <c r="AD129" s="5" t="s">
        <v>367</v>
      </c>
      <c r="AE129" s="5" t="s">
        <v>366</v>
      </c>
      <c r="AF129" s="5"/>
      <c r="AG129" s="5" t="s">
        <v>367</v>
      </c>
      <c r="AH129" s="5" t="s">
        <v>713</v>
      </c>
    </row>
    <row r="130" spans="1:34" ht="13.5" customHeight="1">
      <c r="A130" s="4" t="s">
        <v>1048</v>
      </c>
      <c r="B130" s="4" t="s">
        <v>53</v>
      </c>
      <c r="C130" s="4" t="s">
        <v>54</v>
      </c>
      <c r="D130" s="4" t="s">
        <v>994</v>
      </c>
      <c r="E130" s="4" t="s">
        <v>1040</v>
      </c>
      <c r="F130" s="4" t="s">
        <v>358</v>
      </c>
      <c r="G130" s="4" t="s">
        <v>1049</v>
      </c>
      <c r="H130" s="4" t="s">
        <v>1050</v>
      </c>
      <c r="I130" s="4" t="s">
        <v>1043</v>
      </c>
      <c r="J130" s="4" t="s">
        <v>1044</v>
      </c>
      <c r="K130" s="4" t="s">
        <v>1051</v>
      </c>
      <c r="L130" s="4" t="s">
        <v>1046</v>
      </c>
      <c r="M130" s="4" t="s">
        <v>94</v>
      </c>
      <c r="N130" s="4" t="s">
        <v>1032</v>
      </c>
      <c r="O130" s="4" t="s">
        <v>1047</v>
      </c>
      <c r="P130" s="4" t="s">
        <v>366</v>
      </c>
      <c r="Q130" s="4"/>
      <c r="R130" s="4" t="s">
        <v>367</v>
      </c>
      <c r="S130" s="4" t="s">
        <v>366</v>
      </c>
      <c r="T130" s="4"/>
      <c r="U130" s="4" t="s">
        <v>367</v>
      </c>
      <c r="V130" s="4" t="s">
        <v>366</v>
      </c>
      <c r="W130" s="4"/>
      <c r="X130" s="4" t="s">
        <v>367</v>
      </c>
      <c r="Y130" s="4" t="s">
        <v>366</v>
      </c>
      <c r="Z130" s="4"/>
      <c r="AA130" s="4" t="s">
        <v>367</v>
      </c>
      <c r="AB130" s="4" t="s">
        <v>366</v>
      </c>
      <c r="AC130" s="4"/>
      <c r="AD130" s="4" t="s">
        <v>367</v>
      </c>
      <c r="AE130" s="4" t="s">
        <v>366</v>
      </c>
      <c r="AF130" s="4"/>
      <c r="AG130" s="4" t="s">
        <v>367</v>
      </c>
      <c r="AH130" s="4" t="s">
        <v>713</v>
      </c>
    </row>
    <row r="131" spans="1:34" ht="13.5" customHeight="1">
      <c r="A131" s="5" t="s">
        <v>1052</v>
      </c>
      <c r="B131" s="5" t="s">
        <v>53</v>
      </c>
      <c r="C131" s="5" t="s">
        <v>54</v>
      </c>
      <c r="D131" s="5" t="s">
        <v>994</v>
      </c>
      <c r="E131" s="5" t="s">
        <v>1040</v>
      </c>
      <c r="F131" s="5" t="s">
        <v>358</v>
      </c>
      <c r="G131" s="5" t="s">
        <v>1053</v>
      </c>
      <c r="H131" s="5" t="s">
        <v>1054</v>
      </c>
      <c r="I131" s="5" t="s">
        <v>1043</v>
      </c>
      <c r="J131" s="5" t="s">
        <v>1044</v>
      </c>
      <c r="K131" s="5" t="s">
        <v>1055</v>
      </c>
      <c r="L131" s="5" t="s">
        <v>1046</v>
      </c>
      <c r="M131" s="5" t="s">
        <v>94</v>
      </c>
      <c r="N131" s="5" t="s">
        <v>1032</v>
      </c>
      <c r="O131" s="5" t="s">
        <v>1047</v>
      </c>
      <c r="P131" s="5" t="s">
        <v>366</v>
      </c>
      <c r="Q131" s="5"/>
      <c r="R131" s="5" t="s">
        <v>367</v>
      </c>
      <c r="S131" s="5" t="s">
        <v>366</v>
      </c>
      <c r="T131" s="5"/>
      <c r="U131" s="5" t="s">
        <v>367</v>
      </c>
      <c r="V131" s="5" t="s">
        <v>366</v>
      </c>
      <c r="W131" s="5"/>
      <c r="X131" s="5" t="s">
        <v>367</v>
      </c>
      <c r="Y131" s="5" t="s">
        <v>366</v>
      </c>
      <c r="Z131" s="5"/>
      <c r="AA131" s="5" t="s">
        <v>367</v>
      </c>
      <c r="AB131" s="5" t="s">
        <v>366</v>
      </c>
      <c r="AC131" s="5"/>
      <c r="AD131" s="5" t="s">
        <v>367</v>
      </c>
      <c r="AE131" s="5" t="s">
        <v>366</v>
      </c>
      <c r="AF131" s="5"/>
      <c r="AG131" s="5" t="s">
        <v>367</v>
      </c>
      <c r="AH131" s="5" t="s">
        <v>713</v>
      </c>
    </row>
    <row r="132" spans="1:34" ht="13.5" customHeight="1">
      <c r="A132" s="4" t="s">
        <v>1056</v>
      </c>
      <c r="B132" s="4" t="s">
        <v>53</v>
      </c>
      <c r="C132" s="4" t="s">
        <v>54</v>
      </c>
      <c r="D132" s="4" t="s">
        <v>994</v>
      </c>
      <c r="E132" s="4" t="s">
        <v>1040</v>
      </c>
      <c r="F132" s="4" t="s">
        <v>358</v>
      </c>
      <c r="G132" s="4" t="s">
        <v>1057</v>
      </c>
      <c r="H132" s="4" t="s">
        <v>1058</v>
      </c>
      <c r="I132" s="4" t="s">
        <v>1043</v>
      </c>
      <c r="J132" s="4" t="s">
        <v>1044</v>
      </c>
      <c r="K132" s="4" t="s">
        <v>1059</v>
      </c>
      <c r="L132" s="4" t="s">
        <v>1046</v>
      </c>
      <c r="M132" s="4" t="s">
        <v>94</v>
      </c>
      <c r="N132" s="4" t="s">
        <v>1032</v>
      </c>
      <c r="O132" s="4" t="s">
        <v>1047</v>
      </c>
      <c r="P132" s="4" t="s">
        <v>366</v>
      </c>
      <c r="Q132" s="4"/>
      <c r="R132" s="4" t="s">
        <v>367</v>
      </c>
      <c r="S132" s="4" t="s">
        <v>366</v>
      </c>
      <c r="T132" s="4"/>
      <c r="U132" s="4" t="s">
        <v>367</v>
      </c>
      <c r="V132" s="4" t="s">
        <v>366</v>
      </c>
      <c r="W132" s="4"/>
      <c r="X132" s="4" t="s">
        <v>367</v>
      </c>
      <c r="Y132" s="4" t="s">
        <v>366</v>
      </c>
      <c r="Z132" s="4"/>
      <c r="AA132" s="4" t="s">
        <v>367</v>
      </c>
      <c r="AB132" s="4" t="s">
        <v>366</v>
      </c>
      <c r="AC132" s="4"/>
      <c r="AD132" s="4" t="s">
        <v>367</v>
      </c>
      <c r="AE132" s="4" t="s">
        <v>366</v>
      </c>
      <c r="AF132" s="4"/>
      <c r="AG132" s="4" t="s">
        <v>367</v>
      </c>
      <c r="AH132" s="4" t="s">
        <v>713</v>
      </c>
    </row>
    <row r="133" spans="1:34" ht="13.5" customHeight="1">
      <c r="A133" s="5" t="s">
        <v>1060</v>
      </c>
      <c r="B133" s="5" t="s">
        <v>53</v>
      </c>
      <c r="C133" s="5" t="s">
        <v>54</v>
      </c>
      <c r="D133" s="5" t="s">
        <v>1061</v>
      </c>
      <c r="E133" s="5" t="s">
        <v>1062</v>
      </c>
      <c r="F133" s="5" t="s">
        <v>57</v>
      </c>
      <c r="G133" s="5" t="s">
        <v>1063</v>
      </c>
      <c r="H133" s="5" t="s">
        <v>1064</v>
      </c>
      <c r="I133" s="5" t="s">
        <v>1065</v>
      </c>
      <c r="J133" s="5" t="s">
        <v>1066</v>
      </c>
      <c r="K133" s="5" t="s">
        <v>1067</v>
      </c>
      <c r="L133" s="5" t="s">
        <v>1068</v>
      </c>
      <c r="M133" s="5" t="s">
        <v>94</v>
      </c>
      <c r="N133" s="5" t="s">
        <v>1038</v>
      </c>
      <c r="O133" s="5" t="s">
        <v>1069</v>
      </c>
      <c r="P133" s="5" t="s">
        <v>1070</v>
      </c>
      <c r="Q133" s="5" t="s">
        <v>68</v>
      </c>
      <c r="R133" s="5" t="s">
        <v>1071</v>
      </c>
      <c r="S133" s="5" t="s">
        <v>1072</v>
      </c>
      <c r="T133" s="5" t="s">
        <v>71</v>
      </c>
      <c r="U133" s="5" t="s">
        <v>1073</v>
      </c>
      <c r="V133" s="5" t="s">
        <v>1074</v>
      </c>
      <c r="W133" s="5" t="s">
        <v>74</v>
      </c>
      <c r="X133" s="5" t="s">
        <v>1075</v>
      </c>
      <c r="Y133" s="5" t="s">
        <v>1076</v>
      </c>
      <c r="Z133" s="5" t="s">
        <v>77</v>
      </c>
      <c r="AA133" s="5" t="s">
        <v>1077</v>
      </c>
      <c r="AB133" s="5" t="s">
        <v>1078</v>
      </c>
      <c r="AC133" s="5" t="s">
        <v>80</v>
      </c>
      <c r="AD133" s="5" t="s">
        <v>1079</v>
      </c>
      <c r="AE133" s="5" t="s">
        <v>1080</v>
      </c>
      <c r="AF133" s="5" t="s">
        <v>83</v>
      </c>
      <c r="AG133" s="5" t="s">
        <v>1081</v>
      </c>
      <c r="AH133" s="5" t="s">
        <v>713</v>
      </c>
    </row>
    <row r="134" spans="1:34" ht="13.5" customHeight="1">
      <c r="A134" s="4" t="s">
        <v>1082</v>
      </c>
      <c r="B134" s="4" t="s">
        <v>53</v>
      </c>
      <c r="C134" s="4" t="s">
        <v>54</v>
      </c>
      <c r="D134" s="4" t="s">
        <v>1061</v>
      </c>
      <c r="E134" s="4" t="s">
        <v>1062</v>
      </c>
      <c r="F134" s="4" t="s">
        <v>57</v>
      </c>
      <c r="G134" s="4" t="s">
        <v>1083</v>
      </c>
      <c r="H134" s="4" t="s">
        <v>1084</v>
      </c>
      <c r="I134" s="4" t="s">
        <v>1065</v>
      </c>
      <c r="J134" s="4" t="s">
        <v>1066</v>
      </c>
      <c r="K134" s="4" t="s">
        <v>1085</v>
      </c>
      <c r="L134" s="4" t="s">
        <v>1068</v>
      </c>
      <c r="M134" s="4" t="s">
        <v>94</v>
      </c>
      <c r="N134" s="4" t="s">
        <v>116</v>
      </c>
      <c r="O134" s="4" t="s">
        <v>1069</v>
      </c>
      <c r="P134" s="4" t="s">
        <v>1070</v>
      </c>
      <c r="Q134" s="4" t="s">
        <v>68</v>
      </c>
      <c r="R134" s="4" t="s">
        <v>1071</v>
      </c>
      <c r="S134" s="4" t="s">
        <v>1072</v>
      </c>
      <c r="T134" s="4" t="s">
        <v>71</v>
      </c>
      <c r="U134" s="4" t="s">
        <v>1073</v>
      </c>
      <c r="V134" s="4" t="s">
        <v>1074</v>
      </c>
      <c r="W134" s="4" t="s">
        <v>74</v>
      </c>
      <c r="X134" s="4" t="s">
        <v>1075</v>
      </c>
      <c r="Y134" s="4" t="s">
        <v>1076</v>
      </c>
      <c r="Z134" s="4" t="s">
        <v>77</v>
      </c>
      <c r="AA134" s="4" t="s">
        <v>1077</v>
      </c>
      <c r="AB134" s="4" t="s">
        <v>1078</v>
      </c>
      <c r="AC134" s="4" t="s">
        <v>80</v>
      </c>
      <c r="AD134" s="4" t="s">
        <v>1079</v>
      </c>
      <c r="AE134" s="4" t="s">
        <v>1080</v>
      </c>
      <c r="AF134" s="4" t="s">
        <v>83</v>
      </c>
      <c r="AG134" s="4" t="s">
        <v>1081</v>
      </c>
      <c r="AH134" s="4" t="s">
        <v>713</v>
      </c>
    </row>
    <row r="135" spans="1:34" ht="13.5" customHeight="1">
      <c r="A135" s="5" t="s">
        <v>1086</v>
      </c>
      <c r="B135" s="5" t="s">
        <v>53</v>
      </c>
      <c r="C135" s="5" t="s">
        <v>54</v>
      </c>
      <c r="D135" s="5" t="s">
        <v>1061</v>
      </c>
      <c r="E135" s="5" t="s">
        <v>1062</v>
      </c>
      <c r="F135" s="5" t="s">
        <v>57</v>
      </c>
      <c r="G135" s="5" t="s">
        <v>1087</v>
      </c>
      <c r="H135" s="5" t="s">
        <v>1088</v>
      </c>
      <c r="I135" s="5" t="s">
        <v>1065</v>
      </c>
      <c r="J135" s="5" t="s">
        <v>1066</v>
      </c>
      <c r="K135" s="5" t="s">
        <v>1089</v>
      </c>
      <c r="L135" s="5" t="s">
        <v>1068</v>
      </c>
      <c r="M135" s="5" t="s">
        <v>94</v>
      </c>
      <c r="N135" s="5" t="s">
        <v>1038</v>
      </c>
      <c r="O135" s="5" t="s">
        <v>1069</v>
      </c>
      <c r="P135" s="5" t="s">
        <v>1070</v>
      </c>
      <c r="Q135" s="5" t="s">
        <v>68</v>
      </c>
      <c r="R135" s="5" t="s">
        <v>1071</v>
      </c>
      <c r="S135" s="5" t="s">
        <v>1072</v>
      </c>
      <c r="T135" s="5" t="s">
        <v>71</v>
      </c>
      <c r="U135" s="5" t="s">
        <v>1073</v>
      </c>
      <c r="V135" s="5" t="s">
        <v>1074</v>
      </c>
      <c r="W135" s="5" t="s">
        <v>74</v>
      </c>
      <c r="X135" s="5" t="s">
        <v>1075</v>
      </c>
      <c r="Y135" s="5" t="s">
        <v>1076</v>
      </c>
      <c r="Z135" s="5" t="s">
        <v>77</v>
      </c>
      <c r="AA135" s="5" t="s">
        <v>1077</v>
      </c>
      <c r="AB135" s="5" t="s">
        <v>1078</v>
      </c>
      <c r="AC135" s="5" t="s">
        <v>80</v>
      </c>
      <c r="AD135" s="5" t="s">
        <v>1079</v>
      </c>
      <c r="AE135" s="5" t="s">
        <v>1080</v>
      </c>
      <c r="AF135" s="5" t="s">
        <v>83</v>
      </c>
      <c r="AG135" s="5" t="s">
        <v>1081</v>
      </c>
      <c r="AH135" s="5" t="s">
        <v>713</v>
      </c>
    </row>
    <row r="136" spans="1:34" ht="13.5" customHeight="1">
      <c r="A136" s="4" t="s">
        <v>1090</v>
      </c>
      <c r="B136" s="4" t="s">
        <v>53</v>
      </c>
      <c r="C136" s="4" t="s">
        <v>54</v>
      </c>
      <c r="D136" s="4" t="s">
        <v>1061</v>
      </c>
      <c r="E136" s="4" t="s">
        <v>1062</v>
      </c>
      <c r="F136" s="4" t="s">
        <v>57</v>
      </c>
      <c r="G136" s="4" t="s">
        <v>1091</v>
      </c>
      <c r="H136" s="4" t="s">
        <v>1092</v>
      </c>
      <c r="I136" s="4" t="s">
        <v>1065</v>
      </c>
      <c r="J136" s="4" t="s">
        <v>1066</v>
      </c>
      <c r="K136" s="4" t="s">
        <v>1093</v>
      </c>
      <c r="L136" s="4" t="s">
        <v>1068</v>
      </c>
      <c r="M136" s="4" t="s">
        <v>94</v>
      </c>
      <c r="N136" s="4" t="s">
        <v>116</v>
      </c>
      <c r="O136" s="4" t="s">
        <v>1069</v>
      </c>
      <c r="P136" s="4" t="s">
        <v>1070</v>
      </c>
      <c r="Q136" s="4" t="s">
        <v>68</v>
      </c>
      <c r="R136" s="4" t="s">
        <v>1071</v>
      </c>
      <c r="S136" s="4" t="s">
        <v>1072</v>
      </c>
      <c r="T136" s="4" t="s">
        <v>71</v>
      </c>
      <c r="U136" s="4" t="s">
        <v>1073</v>
      </c>
      <c r="V136" s="4" t="s">
        <v>1074</v>
      </c>
      <c r="W136" s="4" t="s">
        <v>74</v>
      </c>
      <c r="X136" s="4" t="s">
        <v>1075</v>
      </c>
      <c r="Y136" s="4" t="s">
        <v>1076</v>
      </c>
      <c r="Z136" s="4" t="s">
        <v>77</v>
      </c>
      <c r="AA136" s="4" t="s">
        <v>1077</v>
      </c>
      <c r="AB136" s="4" t="s">
        <v>1078</v>
      </c>
      <c r="AC136" s="4" t="s">
        <v>80</v>
      </c>
      <c r="AD136" s="4" t="s">
        <v>1079</v>
      </c>
      <c r="AE136" s="4" t="s">
        <v>1080</v>
      </c>
      <c r="AF136" s="4" t="s">
        <v>83</v>
      </c>
      <c r="AG136" s="4" t="s">
        <v>1081</v>
      </c>
      <c r="AH136" s="4" t="s">
        <v>713</v>
      </c>
    </row>
    <row r="137" spans="1:34" ht="13.5" hidden="1" customHeight="1">
      <c r="A137" s="5" t="s">
        <v>1094</v>
      </c>
      <c r="B137" s="5" t="s">
        <v>87</v>
      </c>
      <c r="C137" s="5" t="s">
        <v>54</v>
      </c>
      <c r="D137" s="5" t="s">
        <v>1061</v>
      </c>
      <c r="E137" s="5" t="s">
        <v>1062</v>
      </c>
      <c r="F137" s="5" t="s">
        <v>57</v>
      </c>
      <c r="G137" s="5" t="s">
        <v>1095</v>
      </c>
      <c r="H137" s="5" t="s">
        <v>1096</v>
      </c>
      <c r="I137" s="5" t="s">
        <v>1097</v>
      </c>
      <c r="J137" s="5" t="s">
        <v>1098</v>
      </c>
      <c r="K137" s="5" t="s">
        <v>1099</v>
      </c>
      <c r="L137" s="5" t="s">
        <v>1100</v>
      </c>
      <c r="M137" s="5" t="s">
        <v>94</v>
      </c>
      <c r="N137" s="5"/>
      <c r="O137" s="5"/>
      <c r="P137" s="5" t="s">
        <v>1070</v>
      </c>
      <c r="Q137" s="5" t="s">
        <v>68</v>
      </c>
      <c r="R137" s="5" t="s">
        <v>1101</v>
      </c>
      <c r="S137" s="5" t="s">
        <v>1072</v>
      </c>
      <c r="T137" s="5" t="s">
        <v>71</v>
      </c>
      <c r="U137" s="5" t="s">
        <v>1102</v>
      </c>
      <c r="V137" s="5" t="s">
        <v>1074</v>
      </c>
      <c r="W137" s="5" t="s">
        <v>74</v>
      </c>
      <c r="X137" s="5" t="s">
        <v>1103</v>
      </c>
      <c r="Y137" s="5" t="s">
        <v>1076</v>
      </c>
      <c r="Z137" s="5" t="s">
        <v>77</v>
      </c>
      <c r="AA137" s="5" t="s">
        <v>1104</v>
      </c>
      <c r="AB137" s="5" t="s">
        <v>1078</v>
      </c>
      <c r="AC137" s="5" t="s">
        <v>80</v>
      </c>
      <c r="AD137" s="5" t="s">
        <v>1105</v>
      </c>
      <c r="AE137" s="5" t="s">
        <v>1080</v>
      </c>
      <c r="AF137" s="5" t="s">
        <v>83</v>
      </c>
      <c r="AG137" s="5" t="s">
        <v>1106</v>
      </c>
      <c r="AH137" s="5" t="s">
        <v>849</v>
      </c>
    </row>
    <row r="138" spans="1:34" ht="13.5" customHeight="1">
      <c r="A138" s="4" t="s">
        <v>1107</v>
      </c>
      <c r="B138" s="4" t="s">
        <v>53</v>
      </c>
      <c r="C138" s="4" t="s">
        <v>54</v>
      </c>
      <c r="D138" s="4" t="s">
        <v>1061</v>
      </c>
      <c r="E138" s="4" t="s">
        <v>1108</v>
      </c>
      <c r="F138" s="4" t="s">
        <v>57</v>
      </c>
      <c r="G138" s="4" t="s">
        <v>1109</v>
      </c>
      <c r="H138" s="4" t="s">
        <v>1110</v>
      </c>
      <c r="I138" s="4" t="s">
        <v>1111</v>
      </c>
      <c r="J138" s="4" t="s">
        <v>1112</v>
      </c>
      <c r="K138" s="4" t="s">
        <v>1113</v>
      </c>
      <c r="L138" s="4" t="s">
        <v>1114</v>
      </c>
      <c r="M138" s="4" t="s">
        <v>94</v>
      </c>
      <c r="N138" s="4" t="s">
        <v>116</v>
      </c>
      <c r="O138" s="4" t="s">
        <v>1115</v>
      </c>
      <c r="P138" s="4" t="s">
        <v>1116</v>
      </c>
      <c r="Q138" s="4" t="s">
        <v>68</v>
      </c>
      <c r="R138" s="4" t="s">
        <v>1071</v>
      </c>
      <c r="S138" s="4" t="s">
        <v>1117</v>
      </c>
      <c r="T138" s="4" t="s">
        <v>71</v>
      </c>
      <c r="U138" s="4" t="s">
        <v>1073</v>
      </c>
      <c r="V138" s="4" t="s">
        <v>1118</v>
      </c>
      <c r="W138" s="4" t="s">
        <v>74</v>
      </c>
      <c r="X138" s="4" t="s">
        <v>1075</v>
      </c>
      <c r="Y138" s="4" t="s">
        <v>1119</v>
      </c>
      <c r="Z138" s="4" t="s">
        <v>77</v>
      </c>
      <c r="AA138" s="4" t="s">
        <v>1077</v>
      </c>
      <c r="AB138" s="4" t="s">
        <v>1120</v>
      </c>
      <c r="AC138" s="4" t="s">
        <v>80</v>
      </c>
      <c r="AD138" s="4" t="s">
        <v>1079</v>
      </c>
      <c r="AE138" s="4" t="s">
        <v>1121</v>
      </c>
      <c r="AF138" s="4" t="s">
        <v>83</v>
      </c>
      <c r="AG138" s="4" t="s">
        <v>1081</v>
      </c>
      <c r="AH138" s="4" t="s">
        <v>713</v>
      </c>
    </row>
    <row r="139" spans="1:34" ht="13.5" hidden="1" customHeight="1">
      <c r="A139" s="5" t="s">
        <v>1122</v>
      </c>
      <c r="B139" s="5" t="s">
        <v>87</v>
      </c>
      <c r="C139" s="5" t="s">
        <v>54</v>
      </c>
      <c r="D139" s="5" t="s">
        <v>1061</v>
      </c>
      <c r="E139" s="5" t="s">
        <v>1108</v>
      </c>
      <c r="F139" s="5" t="s">
        <v>57</v>
      </c>
      <c r="G139" s="5" t="s">
        <v>1123</v>
      </c>
      <c r="H139" s="5" t="s">
        <v>1124</v>
      </c>
      <c r="I139" s="5" t="s">
        <v>1125</v>
      </c>
      <c r="J139" s="5" t="s">
        <v>1126</v>
      </c>
      <c r="K139" s="5" t="s">
        <v>1127</v>
      </c>
      <c r="L139" s="5" t="s">
        <v>1128</v>
      </c>
      <c r="M139" s="5" t="s">
        <v>94</v>
      </c>
      <c r="N139" s="5"/>
      <c r="O139" s="5"/>
      <c r="P139" s="5" t="s">
        <v>1116</v>
      </c>
      <c r="Q139" s="5" t="s">
        <v>68</v>
      </c>
      <c r="R139" s="5" t="s">
        <v>1101</v>
      </c>
      <c r="S139" s="5" t="s">
        <v>1117</v>
      </c>
      <c r="T139" s="5" t="s">
        <v>71</v>
      </c>
      <c r="U139" s="5" t="s">
        <v>1102</v>
      </c>
      <c r="V139" s="5" t="s">
        <v>1118</v>
      </c>
      <c r="W139" s="5" t="s">
        <v>74</v>
      </c>
      <c r="X139" s="5" t="s">
        <v>1103</v>
      </c>
      <c r="Y139" s="5" t="s">
        <v>1119</v>
      </c>
      <c r="Z139" s="5" t="s">
        <v>77</v>
      </c>
      <c r="AA139" s="5" t="s">
        <v>1104</v>
      </c>
      <c r="AB139" s="5" t="s">
        <v>1120</v>
      </c>
      <c r="AC139" s="5" t="s">
        <v>80</v>
      </c>
      <c r="AD139" s="5" t="s">
        <v>1105</v>
      </c>
      <c r="AE139" s="5" t="s">
        <v>1121</v>
      </c>
      <c r="AF139" s="5" t="s">
        <v>83</v>
      </c>
      <c r="AG139" s="5" t="s">
        <v>1106</v>
      </c>
      <c r="AH139" s="5" t="s">
        <v>849</v>
      </c>
    </row>
    <row r="140" spans="1:34" ht="13.5" customHeight="1">
      <c r="A140" s="4" t="s">
        <v>1129</v>
      </c>
      <c r="B140" s="4" t="s">
        <v>53</v>
      </c>
      <c r="C140" s="4" t="s">
        <v>54</v>
      </c>
      <c r="D140" s="4" t="s">
        <v>1061</v>
      </c>
      <c r="E140" s="4" t="s">
        <v>1108</v>
      </c>
      <c r="F140" s="4" t="s">
        <v>57</v>
      </c>
      <c r="G140" s="4" t="s">
        <v>1130</v>
      </c>
      <c r="H140" s="4" t="s">
        <v>1131</v>
      </c>
      <c r="I140" s="4" t="s">
        <v>1111</v>
      </c>
      <c r="J140" s="4" t="s">
        <v>1112</v>
      </c>
      <c r="K140" s="4" t="s">
        <v>1132</v>
      </c>
      <c r="L140" s="4" t="s">
        <v>1114</v>
      </c>
      <c r="M140" s="4" t="s">
        <v>94</v>
      </c>
      <c r="N140" s="4" t="s">
        <v>116</v>
      </c>
      <c r="O140" s="4" t="s">
        <v>1115</v>
      </c>
      <c r="P140" s="4" t="s">
        <v>1116</v>
      </c>
      <c r="Q140" s="4" t="s">
        <v>68</v>
      </c>
      <c r="R140" s="4" t="s">
        <v>1071</v>
      </c>
      <c r="S140" s="4" t="s">
        <v>1117</v>
      </c>
      <c r="T140" s="4" t="s">
        <v>71</v>
      </c>
      <c r="U140" s="4" t="s">
        <v>1073</v>
      </c>
      <c r="V140" s="4" t="s">
        <v>1118</v>
      </c>
      <c r="W140" s="4" t="s">
        <v>74</v>
      </c>
      <c r="X140" s="4" t="s">
        <v>1075</v>
      </c>
      <c r="Y140" s="4" t="s">
        <v>1119</v>
      </c>
      <c r="Z140" s="4" t="s">
        <v>77</v>
      </c>
      <c r="AA140" s="4" t="s">
        <v>1077</v>
      </c>
      <c r="AB140" s="4" t="s">
        <v>1120</v>
      </c>
      <c r="AC140" s="4" t="s">
        <v>80</v>
      </c>
      <c r="AD140" s="4" t="s">
        <v>1079</v>
      </c>
      <c r="AE140" s="4" t="s">
        <v>1121</v>
      </c>
      <c r="AF140" s="4" t="s">
        <v>83</v>
      </c>
      <c r="AG140" s="4" t="s">
        <v>1081</v>
      </c>
      <c r="AH140" s="4" t="s">
        <v>713</v>
      </c>
    </row>
    <row r="141" spans="1:34" ht="13.5" customHeight="1">
      <c r="A141" s="5" t="s">
        <v>1133</v>
      </c>
      <c r="B141" s="5" t="s">
        <v>53</v>
      </c>
      <c r="C141" s="5" t="s">
        <v>54</v>
      </c>
      <c r="D141" s="5" t="s">
        <v>1061</v>
      </c>
      <c r="E141" s="5" t="s">
        <v>1108</v>
      </c>
      <c r="F141" s="5" t="s">
        <v>57</v>
      </c>
      <c r="G141" s="5" t="s">
        <v>1134</v>
      </c>
      <c r="H141" s="5" t="s">
        <v>1135</v>
      </c>
      <c r="I141" s="5" t="s">
        <v>1111</v>
      </c>
      <c r="J141" s="5" t="s">
        <v>1112</v>
      </c>
      <c r="K141" s="5" t="s">
        <v>1136</v>
      </c>
      <c r="L141" s="5" t="s">
        <v>1114</v>
      </c>
      <c r="M141" s="5" t="s">
        <v>94</v>
      </c>
      <c r="N141" s="5" t="s">
        <v>551</v>
      </c>
      <c r="O141" s="5" t="s">
        <v>1115</v>
      </c>
      <c r="P141" s="5" t="s">
        <v>1116</v>
      </c>
      <c r="Q141" s="5" t="s">
        <v>68</v>
      </c>
      <c r="R141" s="5" t="s">
        <v>1071</v>
      </c>
      <c r="S141" s="5" t="s">
        <v>1117</v>
      </c>
      <c r="T141" s="5" t="s">
        <v>71</v>
      </c>
      <c r="U141" s="5" t="s">
        <v>1073</v>
      </c>
      <c r="V141" s="5" t="s">
        <v>1118</v>
      </c>
      <c r="W141" s="5" t="s">
        <v>74</v>
      </c>
      <c r="X141" s="5" t="s">
        <v>1075</v>
      </c>
      <c r="Y141" s="5" t="s">
        <v>1119</v>
      </c>
      <c r="Z141" s="5" t="s">
        <v>77</v>
      </c>
      <c r="AA141" s="5" t="s">
        <v>1077</v>
      </c>
      <c r="AB141" s="5" t="s">
        <v>1120</v>
      </c>
      <c r="AC141" s="5" t="s">
        <v>80</v>
      </c>
      <c r="AD141" s="5" t="s">
        <v>1079</v>
      </c>
      <c r="AE141" s="5" t="s">
        <v>1121</v>
      </c>
      <c r="AF141" s="5" t="s">
        <v>83</v>
      </c>
      <c r="AG141" s="5" t="s">
        <v>1081</v>
      </c>
      <c r="AH141" s="5" t="s">
        <v>713</v>
      </c>
    </row>
    <row r="142" spans="1:34" ht="13.5" customHeight="1">
      <c r="A142" s="4" t="s">
        <v>1137</v>
      </c>
      <c r="B142" s="4" t="s">
        <v>53</v>
      </c>
      <c r="C142" s="4" t="s">
        <v>54</v>
      </c>
      <c r="D142" s="4" t="s">
        <v>1061</v>
      </c>
      <c r="E142" s="4" t="s">
        <v>1108</v>
      </c>
      <c r="F142" s="4" t="s">
        <v>57</v>
      </c>
      <c r="G142" s="4" t="s">
        <v>1138</v>
      </c>
      <c r="H142" s="4" t="s">
        <v>1139</v>
      </c>
      <c r="I142" s="4" t="s">
        <v>1111</v>
      </c>
      <c r="J142" s="4" t="s">
        <v>1112</v>
      </c>
      <c r="K142" s="4" t="s">
        <v>1140</v>
      </c>
      <c r="L142" s="4" t="s">
        <v>1114</v>
      </c>
      <c r="M142" s="4" t="s">
        <v>94</v>
      </c>
      <c r="N142" s="4" t="s">
        <v>551</v>
      </c>
      <c r="O142" s="4" t="s">
        <v>1115</v>
      </c>
      <c r="P142" s="4" t="s">
        <v>1116</v>
      </c>
      <c r="Q142" s="4" t="s">
        <v>68</v>
      </c>
      <c r="R142" s="4" t="s">
        <v>1071</v>
      </c>
      <c r="S142" s="4" t="s">
        <v>1117</v>
      </c>
      <c r="T142" s="4" t="s">
        <v>71</v>
      </c>
      <c r="U142" s="4" t="s">
        <v>1073</v>
      </c>
      <c r="V142" s="4" t="s">
        <v>1118</v>
      </c>
      <c r="W142" s="4" t="s">
        <v>74</v>
      </c>
      <c r="X142" s="4" t="s">
        <v>1075</v>
      </c>
      <c r="Y142" s="4" t="s">
        <v>1119</v>
      </c>
      <c r="Z142" s="4" t="s">
        <v>77</v>
      </c>
      <c r="AA142" s="4" t="s">
        <v>1077</v>
      </c>
      <c r="AB142" s="4" t="s">
        <v>1120</v>
      </c>
      <c r="AC142" s="4" t="s">
        <v>80</v>
      </c>
      <c r="AD142" s="4" t="s">
        <v>1079</v>
      </c>
      <c r="AE142" s="4" t="s">
        <v>1121</v>
      </c>
      <c r="AF142" s="4" t="s">
        <v>83</v>
      </c>
      <c r="AG142" s="4" t="s">
        <v>1081</v>
      </c>
      <c r="AH142" s="4" t="s">
        <v>713</v>
      </c>
    </row>
    <row r="143" spans="1:34" ht="13.5" customHeight="1">
      <c r="A143" s="5" t="s">
        <v>1141</v>
      </c>
      <c r="B143" s="5" t="s">
        <v>53</v>
      </c>
      <c r="C143" s="5" t="s">
        <v>54</v>
      </c>
      <c r="D143" s="5" t="s">
        <v>1061</v>
      </c>
      <c r="E143" s="5" t="s">
        <v>1142</v>
      </c>
      <c r="F143" s="5" t="s">
        <v>57</v>
      </c>
      <c r="G143" s="5" t="s">
        <v>1143</v>
      </c>
      <c r="H143" s="5" t="s">
        <v>1144</v>
      </c>
      <c r="I143" s="5" t="s">
        <v>1145</v>
      </c>
      <c r="J143" s="5" t="s">
        <v>1146</v>
      </c>
      <c r="K143" s="5" t="s">
        <v>1147</v>
      </c>
      <c r="L143" s="5" t="s">
        <v>1148</v>
      </c>
      <c r="M143" s="5" t="s">
        <v>94</v>
      </c>
      <c r="N143" s="5" t="s">
        <v>1149</v>
      </c>
      <c r="O143" s="5" t="s">
        <v>1150</v>
      </c>
      <c r="P143" s="5" t="s">
        <v>1151</v>
      </c>
      <c r="Q143" s="5" t="s">
        <v>68</v>
      </c>
      <c r="R143" s="5" t="s">
        <v>1071</v>
      </c>
      <c r="S143" s="5" t="s">
        <v>1152</v>
      </c>
      <c r="T143" s="5" t="s">
        <v>71</v>
      </c>
      <c r="U143" s="5" t="s">
        <v>1073</v>
      </c>
      <c r="V143" s="5" t="s">
        <v>1153</v>
      </c>
      <c r="W143" s="5" t="s">
        <v>74</v>
      </c>
      <c r="X143" s="5" t="s">
        <v>1075</v>
      </c>
      <c r="Y143" s="5" t="s">
        <v>1154</v>
      </c>
      <c r="Z143" s="5" t="s">
        <v>77</v>
      </c>
      <c r="AA143" s="5" t="s">
        <v>1077</v>
      </c>
      <c r="AB143" s="5" t="s">
        <v>1155</v>
      </c>
      <c r="AC143" s="5" t="s">
        <v>80</v>
      </c>
      <c r="AD143" s="5" t="s">
        <v>1079</v>
      </c>
      <c r="AE143" s="5" t="s">
        <v>1156</v>
      </c>
      <c r="AF143" s="5" t="s">
        <v>83</v>
      </c>
      <c r="AG143" s="5" t="s">
        <v>1081</v>
      </c>
      <c r="AH143" s="5" t="s">
        <v>713</v>
      </c>
    </row>
    <row r="144" spans="1:34" ht="13.5" hidden="1" customHeight="1">
      <c r="A144" s="4" t="s">
        <v>1157</v>
      </c>
      <c r="B144" s="4" t="s">
        <v>87</v>
      </c>
      <c r="C144" s="4" t="s">
        <v>54</v>
      </c>
      <c r="D144" s="4" t="s">
        <v>1061</v>
      </c>
      <c r="E144" s="4" t="s">
        <v>1142</v>
      </c>
      <c r="F144" s="4" t="s">
        <v>57</v>
      </c>
      <c r="G144" s="4" t="s">
        <v>1158</v>
      </c>
      <c r="H144" s="4" t="s">
        <v>1159</v>
      </c>
      <c r="I144" s="4" t="s">
        <v>1160</v>
      </c>
      <c r="J144" s="4" t="s">
        <v>1161</v>
      </c>
      <c r="K144" s="4" t="s">
        <v>1162</v>
      </c>
      <c r="L144" s="4" t="s">
        <v>1163</v>
      </c>
      <c r="M144" s="4" t="s">
        <v>64</v>
      </c>
      <c r="N144" s="4"/>
      <c r="O144" s="4"/>
      <c r="P144" s="4" t="s">
        <v>1151</v>
      </c>
      <c r="Q144" s="4" t="s">
        <v>68</v>
      </c>
      <c r="R144" s="4" t="s">
        <v>1101</v>
      </c>
      <c r="S144" s="4" t="s">
        <v>1152</v>
      </c>
      <c r="T144" s="4" t="s">
        <v>71</v>
      </c>
      <c r="U144" s="4" t="s">
        <v>1102</v>
      </c>
      <c r="V144" s="4" t="s">
        <v>1153</v>
      </c>
      <c r="W144" s="4" t="s">
        <v>74</v>
      </c>
      <c r="X144" s="4" t="s">
        <v>1103</v>
      </c>
      <c r="Y144" s="4" t="s">
        <v>1154</v>
      </c>
      <c r="Z144" s="4" t="s">
        <v>77</v>
      </c>
      <c r="AA144" s="4" t="s">
        <v>1104</v>
      </c>
      <c r="AB144" s="4" t="s">
        <v>1155</v>
      </c>
      <c r="AC144" s="4" t="s">
        <v>80</v>
      </c>
      <c r="AD144" s="4" t="s">
        <v>1105</v>
      </c>
      <c r="AE144" s="4" t="s">
        <v>1156</v>
      </c>
      <c r="AF144" s="4" t="s">
        <v>83</v>
      </c>
      <c r="AG144" s="4" t="s">
        <v>1106</v>
      </c>
      <c r="AH144" s="4" t="s">
        <v>849</v>
      </c>
    </row>
    <row r="145" spans="1:34" ht="13.5" customHeight="1">
      <c r="A145" s="5" t="s">
        <v>1164</v>
      </c>
      <c r="B145" s="5" t="s">
        <v>53</v>
      </c>
      <c r="C145" s="5" t="s">
        <v>54</v>
      </c>
      <c r="D145" s="5" t="s">
        <v>1061</v>
      </c>
      <c r="E145" s="5" t="s">
        <v>1165</v>
      </c>
      <c r="F145" s="5" t="s">
        <v>57</v>
      </c>
      <c r="G145" s="5" t="s">
        <v>1166</v>
      </c>
      <c r="H145" s="5" t="s">
        <v>1167</v>
      </c>
      <c r="I145" s="5" t="s">
        <v>1168</v>
      </c>
      <c r="J145" s="5" t="s">
        <v>1169</v>
      </c>
      <c r="K145" s="5" t="s">
        <v>1170</v>
      </c>
      <c r="L145" s="5" t="s">
        <v>1171</v>
      </c>
      <c r="M145" s="5" t="s">
        <v>64</v>
      </c>
      <c r="N145" s="5" t="s">
        <v>116</v>
      </c>
      <c r="O145" s="5" t="s">
        <v>1172</v>
      </c>
      <c r="P145" s="5" t="s">
        <v>1173</v>
      </c>
      <c r="Q145" s="5" t="s">
        <v>68</v>
      </c>
      <c r="R145" s="5" t="s">
        <v>1071</v>
      </c>
      <c r="S145" s="5" t="s">
        <v>1174</v>
      </c>
      <c r="T145" s="5" t="s">
        <v>71</v>
      </c>
      <c r="U145" s="5" t="s">
        <v>1073</v>
      </c>
      <c r="V145" s="5" t="s">
        <v>1175</v>
      </c>
      <c r="W145" s="5" t="s">
        <v>74</v>
      </c>
      <c r="X145" s="5" t="s">
        <v>1075</v>
      </c>
      <c r="Y145" s="5" t="s">
        <v>1176</v>
      </c>
      <c r="Z145" s="5" t="s">
        <v>77</v>
      </c>
      <c r="AA145" s="5" t="s">
        <v>1077</v>
      </c>
      <c r="AB145" s="5" t="s">
        <v>1177</v>
      </c>
      <c r="AC145" s="5" t="s">
        <v>80</v>
      </c>
      <c r="AD145" s="5" t="s">
        <v>1079</v>
      </c>
      <c r="AE145" s="5" t="s">
        <v>1178</v>
      </c>
      <c r="AF145" s="5" t="s">
        <v>83</v>
      </c>
      <c r="AG145" s="5" t="s">
        <v>1081</v>
      </c>
      <c r="AH145" s="5" t="s">
        <v>713</v>
      </c>
    </row>
    <row r="146" spans="1:34" ht="13.5" customHeight="1">
      <c r="A146" s="4" t="s">
        <v>1179</v>
      </c>
      <c r="B146" s="4" t="s">
        <v>53</v>
      </c>
      <c r="C146" s="4" t="s">
        <v>54</v>
      </c>
      <c r="D146" s="4" t="s">
        <v>1061</v>
      </c>
      <c r="E146" s="4" t="s">
        <v>1180</v>
      </c>
      <c r="F146" s="4" t="s">
        <v>57</v>
      </c>
      <c r="G146" s="4" t="s">
        <v>1181</v>
      </c>
      <c r="H146" s="4" t="s">
        <v>1182</v>
      </c>
      <c r="I146" s="4" t="s">
        <v>1183</v>
      </c>
      <c r="J146" s="4" t="s">
        <v>1184</v>
      </c>
      <c r="K146" s="4" t="s">
        <v>1185</v>
      </c>
      <c r="L146" s="4" t="s">
        <v>1186</v>
      </c>
      <c r="M146" s="4" t="s">
        <v>64</v>
      </c>
      <c r="N146" s="4" t="s">
        <v>116</v>
      </c>
      <c r="O146" s="4" t="s">
        <v>1187</v>
      </c>
      <c r="P146" s="4" t="s">
        <v>1188</v>
      </c>
      <c r="Q146" s="4" t="s">
        <v>68</v>
      </c>
      <c r="R146" s="4" t="s">
        <v>1071</v>
      </c>
      <c r="S146" s="4" t="s">
        <v>1189</v>
      </c>
      <c r="T146" s="4" t="s">
        <v>71</v>
      </c>
      <c r="U146" s="4" t="s">
        <v>1073</v>
      </c>
      <c r="V146" s="4" t="s">
        <v>1190</v>
      </c>
      <c r="W146" s="4" t="s">
        <v>74</v>
      </c>
      <c r="X146" s="4" t="s">
        <v>1075</v>
      </c>
      <c r="Y146" s="4" t="s">
        <v>1191</v>
      </c>
      <c r="Z146" s="4" t="s">
        <v>77</v>
      </c>
      <c r="AA146" s="4" t="s">
        <v>1077</v>
      </c>
      <c r="AB146" s="4" t="s">
        <v>1192</v>
      </c>
      <c r="AC146" s="4" t="s">
        <v>80</v>
      </c>
      <c r="AD146" s="4" t="s">
        <v>1079</v>
      </c>
      <c r="AE146" s="4" t="s">
        <v>1193</v>
      </c>
      <c r="AF146" s="4" t="s">
        <v>83</v>
      </c>
      <c r="AG146" s="4" t="s">
        <v>1081</v>
      </c>
      <c r="AH146" s="4" t="s">
        <v>713</v>
      </c>
    </row>
    <row r="147" spans="1:34" ht="13.5" customHeight="1">
      <c r="A147" s="5" t="s">
        <v>1194</v>
      </c>
      <c r="B147" s="5" t="s">
        <v>53</v>
      </c>
      <c r="C147" s="5" t="s">
        <v>1195</v>
      </c>
      <c r="D147" s="5"/>
      <c r="E147" s="5" t="s">
        <v>1196</v>
      </c>
      <c r="F147" s="5" t="s">
        <v>358</v>
      </c>
      <c r="G147" s="5" t="s">
        <v>1197</v>
      </c>
      <c r="H147" s="5" t="s">
        <v>1198</v>
      </c>
      <c r="I147" s="5" t="s">
        <v>1199</v>
      </c>
      <c r="J147" s="5" t="s">
        <v>1200</v>
      </c>
      <c r="K147" s="5" t="s">
        <v>1201</v>
      </c>
      <c r="L147" s="5" t="s">
        <v>1202</v>
      </c>
      <c r="M147" s="5" t="s">
        <v>94</v>
      </c>
      <c r="N147" s="5"/>
      <c r="O147" s="5" t="s">
        <v>1203</v>
      </c>
      <c r="P147" s="5" t="s">
        <v>366</v>
      </c>
      <c r="Q147" s="5"/>
      <c r="R147" s="5" t="s">
        <v>367</v>
      </c>
      <c r="S147" s="5" t="s">
        <v>366</v>
      </c>
      <c r="T147" s="5"/>
      <c r="U147" s="5" t="s">
        <v>367</v>
      </c>
      <c r="V147" s="5" t="s">
        <v>366</v>
      </c>
      <c r="W147" s="5"/>
      <c r="X147" s="5" t="s">
        <v>367</v>
      </c>
      <c r="Y147" s="5" t="s">
        <v>366</v>
      </c>
      <c r="Z147" s="5"/>
      <c r="AA147" s="5" t="s">
        <v>367</v>
      </c>
      <c r="AB147" s="5" t="s">
        <v>366</v>
      </c>
      <c r="AC147" s="5"/>
      <c r="AD147" s="5" t="s">
        <v>367</v>
      </c>
      <c r="AE147" s="5" t="s">
        <v>366</v>
      </c>
      <c r="AF147" s="5"/>
      <c r="AG147" s="5" t="s">
        <v>367</v>
      </c>
      <c r="AH147" s="5" t="s">
        <v>713</v>
      </c>
    </row>
    <row r="148" spans="1:34" ht="13.5" customHeight="1">
      <c r="A148" s="4" t="s">
        <v>1204</v>
      </c>
      <c r="B148" s="4" t="s">
        <v>53</v>
      </c>
      <c r="C148" s="4" t="s">
        <v>1195</v>
      </c>
      <c r="D148" s="4"/>
      <c r="E148" s="4" t="s">
        <v>1196</v>
      </c>
      <c r="F148" s="4" t="s">
        <v>358</v>
      </c>
      <c r="G148" s="4" t="s">
        <v>1205</v>
      </c>
      <c r="H148" s="4" t="s">
        <v>1206</v>
      </c>
      <c r="I148" s="4"/>
      <c r="J148" s="4" t="s">
        <v>1207</v>
      </c>
      <c r="K148" s="4" t="s">
        <v>1208</v>
      </c>
      <c r="L148" s="4" t="s">
        <v>1209</v>
      </c>
      <c r="M148" s="4" t="s">
        <v>94</v>
      </c>
      <c r="N148" s="4"/>
      <c r="O148" s="4" t="s">
        <v>1203</v>
      </c>
      <c r="P148" s="4" t="s">
        <v>366</v>
      </c>
      <c r="Q148" s="4"/>
      <c r="R148" s="4" t="s">
        <v>367</v>
      </c>
      <c r="S148" s="4" t="s">
        <v>366</v>
      </c>
      <c r="T148" s="4"/>
      <c r="U148" s="4" t="s">
        <v>367</v>
      </c>
      <c r="V148" s="4" t="s">
        <v>366</v>
      </c>
      <c r="W148" s="4"/>
      <c r="X148" s="4" t="s">
        <v>367</v>
      </c>
      <c r="Y148" s="4" t="s">
        <v>366</v>
      </c>
      <c r="Z148" s="4"/>
      <c r="AA148" s="4" t="s">
        <v>367</v>
      </c>
      <c r="AB148" s="4" t="s">
        <v>366</v>
      </c>
      <c r="AC148" s="4"/>
      <c r="AD148" s="4" t="s">
        <v>367</v>
      </c>
      <c r="AE148" s="4" t="s">
        <v>366</v>
      </c>
      <c r="AF148" s="4"/>
      <c r="AG148" s="4" t="s">
        <v>367</v>
      </c>
      <c r="AH148" s="4" t="s">
        <v>713</v>
      </c>
    </row>
    <row r="149" spans="1:34" ht="13.5" customHeight="1">
      <c r="A149" s="5" t="s">
        <v>1210</v>
      </c>
      <c r="B149" s="5" t="s">
        <v>53</v>
      </c>
      <c r="C149" s="5" t="s">
        <v>1195</v>
      </c>
      <c r="D149" s="5"/>
      <c r="E149" s="5" t="s">
        <v>1196</v>
      </c>
      <c r="F149" s="5" t="s">
        <v>358</v>
      </c>
      <c r="G149" s="5" t="s">
        <v>1211</v>
      </c>
      <c r="H149" s="5" t="s">
        <v>1212</v>
      </c>
      <c r="I149" s="5" t="s">
        <v>1199</v>
      </c>
      <c r="J149" s="5" t="s">
        <v>1200</v>
      </c>
      <c r="K149" s="5" t="s">
        <v>1213</v>
      </c>
      <c r="L149" s="5" t="s">
        <v>1202</v>
      </c>
      <c r="M149" s="5" t="s">
        <v>94</v>
      </c>
      <c r="N149" s="5"/>
      <c r="O149" s="5" t="s">
        <v>1203</v>
      </c>
      <c r="P149" s="5" t="s">
        <v>366</v>
      </c>
      <c r="Q149" s="5"/>
      <c r="R149" s="5" t="s">
        <v>367</v>
      </c>
      <c r="S149" s="5" t="s">
        <v>366</v>
      </c>
      <c r="T149" s="5"/>
      <c r="U149" s="5" t="s">
        <v>367</v>
      </c>
      <c r="V149" s="5" t="s">
        <v>366</v>
      </c>
      <c r="W149" s="5"/>
      <c r="X149" s="5" t="s">
        <v>367</v>
      </c>
      <c r="Y149" s="5" t="s">
        <v>366</v>
      </c>
      <c r="Z149" s="5"/>
      <c r="AA149" s="5" t="s">
        <v>367</v>
      </c>
      <c r="AB149" s="5" t="s">
        <v>366</v>
      </c>
      <c r="AC149" s="5"/>
      <c r="AD149" s="5" t="s">
        <v>367</v>
      </c>
      <c r="AE149" s="5" t="s">
        <v>366</v>
      </c>
      <c r="AF149" s="5"/>
      <c r="AG149" s="5" t="s">
        <v>367</v>
      </c>
      <c r="AH149" s="5" t="s">
        <v>713</v>
      </c>
    </row>
    <row r="150" spans="1:34" ht="13.5" customHeight="1">
      <c r="A150" s="4" t="s">
        <v>1214</v>
      </c>
      <c r="B150" s="4" t="s">
        <v>53</v>
      </c>
      <c r="C150" s="4" t="s">
        <v>1195</v>
      </c>
      <c r="D150" s="4"/>
      <c r="E150" s="4" t="s">
        <v>1196</v>
      </c>
      <c r="F150" s="4" t="s">
        <v>358</v>
      </c>
      <c r="G150" s="4" t="s">
        <v>1215</v>
      </c>
      <c r="H150" s="4" t="s">
        <v>1216</v>
      </c>
      <c r="I150" s="4" t="s">
        <v>1199</v>
      </c>
      <c r="J150" s="4" t="s">
        <v>1200</v>
      </c>
      <c r="K150" s="4" t="s">
        <v>1217</v>
      </c>
      <c r="L150" s="4" t="s">
        <v>1202</v>
      </c>
      <c r="M150" s="4" t="s">
        <v>94</v>
      </c>
      <c r="N150" s="4"/>
      <c r="O150" s="4" t="s">
        <v>1203</v>
      </c>
      <c r="P150" s="4" t="s">
        <v>366</v>
      </c>
      <c r="Q150" s="4"/>
      <c r="R150" s="4" t="s">
        <v>367</v>
      </c>
      <c r="S150" s="4" t="s">
        <v>366</v>
      </c>
      <c r="T150" s="4"/>
      <c r="U150" s="4" t="s">
        <v>367</v>
      </c>
      <c r="V150" s="4" t="s">
        <v>366</v>
      </c>
      <c r="W150" s="4"/>
      <c r="X150" s="4" t="s">
        <v>367</v>
      </c>
      <c r="Y150" s="4" t="s">
        <v>366</v>
      </c>
      <c r="Z150" s="4"/>
      <c r="AA150" s="4" t="s">
        <v>367</v>
      </c>
      <c r="AB150" s="4" t="s">
        <v>366</v>
      </c>
      <c r="AC150" s="4"/>
      <c r="AD150" s="4" t="s">
        <v>367</v>
      </c>
      <c r="AE150" s="4" t="s">
        <v>366</v>
      </c>
      <c r="AF150" s="4"/>
      <c r="AG150" s="4" t="s">
        <v>367</v>
      </c>
      <c r="AH150" s="4" t="s">
        <v>713</v>
      </c>
    </row>
    <row r="151" spans="1:34" ht="13.5" customHeight="1">
      <c r="A151" s="5" t="s">
        <v>1218</v>
      </c>
      <c r="B151" s="5" t="s">
        <v>53</v>
      </c>
      <c r="C151" s="5" t="s">
        <v>1195</v>
      </c>
      <c r="D151" s="5"/>
      <c r="E151" s="5" t="s">
        <v>1196</v>
      </c>
      <c r="F151" s="5" t="s">
        <v>358</v>
      </c>
      <c r="G151" s="5" t="s">
        <v>1219</v>
      </c>
      <c r="H151" s="5" t="s">
        <v>1220</v>
      </c>
      <c r="I151" s="5" t="s">
        <v>1199</v>
      </c>
      <c r="J151" s="5" t="s">
        <v>1200</v>
      </c>
      <c r="K151" s="5" t="s">
        <v>1221</v>
      </c>
      <c r="L151" s="5" t="s">
        <v>1202</v>
      </c>
      <c r="M151" s="5" t="s">
        <v>94</v>
      </c>
      <c r="N151" s="5"/>
      <c r="O151" s="5" t="s">
        <v>1203</v>
      </c>
      <c r="P151" s="5" t="s">
        <v>366</v>
      </c>
      <c r="Q151" s="5"/>
      <c r="R151" s="5" t="s">
        <v>367</v>
      </c>
      <c r="S151" s="5" t="s">
        <v>366</v>
      </c>
      <c r="T151" s="5"/>
      <c r="U151" s="5" t="s">
        <v>367</v>
      </c>
      <c r="V151" s="5" t="s">
        <v>366</v>
      </c>
      <c r="W151" s="5"/>
      <c r="X151" s="5" t="s">
        <v>367</v>
      </c>
      <c r="Y151" s="5" t="s">
        <v>366</v>
      </c>
      <c r="Z151" s="5"/>
      <c r="AA151" s="5" t="s">
        <v>367</v>
      </c>
      <c r="AB151" s="5" t="s">
        <v>366</v>
      </c>
      <c r="AC151" s="5"/>
      <c r="AD151" s="5" t="s">
        <v>367</v>
      </c>
      <c r="AE151" s="5" t="s">
        <v>366</v>
      </c>
      <c r="AF151" s="5"/>
      <c r="AG151" s="5" t="s">
        <v>367</v>
      </c>
      <c r="AH151" s="5" t="s">
        <v>713</v>
      </c>
    </row>
    <row r="152" spans="1:34" ht="13.5" customHeight="1">
      <c r="A152" s="4" t="s">
        <v>1222</v>
      </c>
      <c r="B152" s="4" t="s">
        <v>53</v>
      </c>
      <c r="C152" s="4" t="s">
        <v>1195</v>
      </c>
      <c r="D152" s="4"/>
      <c r="E152" s="4" t="s">
        <v>1223</v>
      </c>
      <c r="F152" s="4" t="s">
        <v>358</v>
      </c>
      <c r="G152" s="4" t="s">
        <v>1224</v>
      </c>
      <c r="H152" s="4" t="s">
        <v>1225</v>
      </c>
      <c r="I152" s="4" t="s">
        <v>1226</v>
      </c>
      <c r="J152" s="4" t="s">
        <v>1227</v>
      </c>
      <c r="K152" s="4" t="s">
        <v>1228</v>
      </c>
      <c r="L152" s="4" t="s">
        <v>1229</v>
      </c>
      <c r="M152" s="4" t="s">
        <v>94</v>
      </c>
      <c r="N152" s="4"/>
      <c r="O152" s="4" t="s">
        <v>1230</v>
      </c>
      <c r="P152" s="4" t="s">
        <v>366</v>
      </c>
      <c r="Q152" s="4"/>
      <c r="R152" s="4" t="s">
        <v>367</v>
      </c>
      <c r="S152" s="4" t="s">
        <v>366</v>
      </c>
      <c r="T152" s="4"/>
      <c r="U152" s="4" t="s">
        <v>367</v>
      </c>
      <c r="V152" s="4" t="s">
        <v>366</v>
      </c>
      <c r="W152" s="4"/>
      <c r="X152" s="4" t="s">
        <v>367</v>
      </c>
      <c r="Y152" s="4" t="s">
        <v>366</v>
      </c>
      <c r="Z152" s="4"/>
      <c r="AA152" s="4" t="s">
        <v>367</v>
      </c>
      <c r="AB152" s="4" t="s">
        <v>366</v>
      </c>
      <c r="AC152" s="4"/>
      <c r="AD152" s="4" t="s">
        <v>367</v>
      </c>
      <c r="AE152" s="4" t="s">
        <v>366</v>
      </c>
      <c r="AF152" s="4"/>
      <c r="AG152" s="4" t="s">
        <v>367</v>
      </c>
      <c r="AH152" s="4" t="s">
        <v>713</v>
      </c>
    </row>
    <row r="153" spans="1:34" ht="13.5" customHeight="1">
      <c r="A153" s="5" t="s">
        <v>1231</v>
      </c>
      <c r="B153" s="5" t="s">
        <v>53</v>
      </c>
      <c r="C153" s="5" t="s">
        <v>1195</v>
      </c>
      <c r="D153" s="5"/>
      <c r="E153" s="5" t="s">
        <v>1223</v>
      </c>
      <c r="F153" s="5" t="s">
        <v>358</v>
      </c>
      <c r="G153" s="5" t="s">
        <v>1232</v>
      </c>
      <c r="H153" s="5" t="s">
        <v>1233</v>
      </c>
      <c r="I153" s="5"/>
      <c r="J153" s="5" t="s">
        <v>1234</v>
      </c>
      <c r="K153" s="5" t="s">
        <v>1235</v>
      </c>
      <c r="L153" s="5" t="s">
        <v>1236</v>
      </c>
      <c r="M153" s="5" t="s">
        <v>94</v>
      </c>
      <c r="N153" s="5"/>
      <c r="O153" s="5" t="s">
        <v>1230</v>
      </c>
      <c r="P153" s="5" t="s">
        <v>366</v>
      </c>
      <c r="Q153" s="5"/>
      <c r="R153" s="5" t="s">
        <v>367</v>
      </c>
      <c r="S153" s="5" t="s">
        <v>366</v>
      </c>
      <c r="T153" s="5"/>
      <c r="U153" s="5" t="s">
        <v>367</v>
      </c>
      <c r="V153" s="5" t="s">
        <v>366</v>
      </c>
      <c r="W153" s="5"/>
      <c r="X153" s="5" t="s">
        <v>367</v>
      </c>
      <c r="Y153" s="5" t="s">
        <v>366</v>
      </c>
      <c r="Z153" s="5"/>
      <c r="AA153" s="5" t="s">
        <v>367</v>
      </c>
      <c r="AB153" s="5" t="s">
        <v>366</v>
      </c>
      <c r="AC153" s="5"/>
      <c r="AD153" s="5" t="s">
        <v>367</v>
      </c>
      <c r="AE153" s="5" t="s">
        <v>366</v>
      </c>
      <c r="AF153" s="5"/>
      <c r="AG153" s="5" t="s">
        <v>367</v>
      </c>
      <c r="AH153" s="5" t="s">
        <v>713</v>
      </c>
    </row>
    <row r="154" spans="1:34" ht="13.5" customHeight="1">
      <c r="A154" s="4" t="s">
        <v>1237</v>
      </c>
      <c r="B154" s="4" t="s">
        <v>53</v>
      </c>
      <c r="C154" s="4" t="s">
        <v>1195</v>
      </c>
      <c r="D154" s="4"/>
      <c r="E154" s="4" t="s">
        <v>1223</v>
      </c>
      <c r="F154" s="4" t="s">
        <v>358</v>
      </c>
      <c r="G154" s="4" t="s">
        <v>1238</v>
      </c>
      <c r="H154" s="4" t="s">
        <v>1239</v>
      </c>
      <c r="I154" s="4"/>
      <c r="J154" s="4" t="s">
        <v>1240</v>
      </c>
      <c r="K154" s="4" t="s">
        <v>1241</v>
      </c>
      <c r="L154" s="4" t="s">
        <v>1242</v>
      </c>
      <c r="M154" s="4" t="s">
        <v>94</v>
      </c>
      <c r="N154" s="4"/>
      <c r="O154" s="4" t="s">
        <v>1230</v>
      </c>
      <c r="P154" s="4" t="s">
        <v>366</v>
      </c>
      <c r="Q154" s="4"/>
      <c r="R154" s="4" t="s">
        <v>367</v>
      </c>
      <c r="S154" s="4" t="s">
        <v>366</v>
      </c>
      <c r="T154" s="4"/>
      <c r="U154" s="4" t="s">
        <v>367</v>
      </c>
      <c r="V154" s="4" t="s">
        <v>366</v>
      </c>
      <c r="W154" s="4"/>
      <c r="X154" s="4" t="s">
        <v>367</v>
      </c>
      <c r="Y154" s="4" t="s">
        <v>366</v>
      </c>
      <c r="Z154" s="4"/>
      <c r="AA154" s="4" t="s">
        <v>367</v>
      </c>
      <c r="AB154" s="4" t="s">
        <v>366</v>
      </c>
      <c r="AC154" s="4"/>
      <c r="AD154" s="4" t="s">
        <v>367</v>
      </c>
      <c r="AE154" s="4" t="s">
        <v>366</v>
      </c>
      <c r="AF154" s="4"/>
      <c r="AG154" s="4" t="s">
        <v>367</v>
      </c>
      <c r="AH154" s="4" t="s">
        <v>713</v>
      </c>
    </row>
    <row r="155" spans="1:34" ht="13.5" customHeight="1">
      <c r="A155" s="5" t="s">
        <v>1243</v>
      </c>
      <c r="B155" s="5" t="s">
        <v>53</v>
      </c>
      <c r="C155" s="5" t="s">
        <v>1195</v>
      </c>
      <c r="D155" s="5"/>
      <c r="E155" s="5" t="s">
        <v>1223</v>
      </c>
      <c r="F155" s="5" t="s">
        <v>358</v>
      </c>
      <c r="G155" s="5" t="s">
        <v>1244</v>
      </c>
      <c r="H155" s="5" t="s">
        <v>1245</v>
      </c>
      <c r="I155" s="5"/>
      <c r="J155" s="5" t="s">
        <v>1246</v>
      </c>
      <c r="K155" s="5" t="s">
        <v>1247</v>
      </c>
      <c r="L155" s="5" t="s">
        <v>1248</v>
      </c>
      <c r="M155" s="5" t="s">
        <v>94</v>
      </c>
      <c r="N155" s="5"/>
      <c r="O155" s="5" t="s">
        <v>1230</v>
      </c>
      <c r="P155" s="5" t="s">
        <v>366</v>
      </c>
      <c r="Q155" s="5"/>
      <c r="R155" s="5" t="s">
        <v>367</v>
      </c>
      <c r="S155" s="5" t="s">
        <v>366</v>
      </c>
      <c r="T155" s="5"/>
      <c r="U155" s="5" t="s">
        <v>367</v>
      </c>
      <c r="V155" s="5" t="s">
        <v>366</v>
      </c>
      <c r="W155" s="5"/>
      <c r="X155" s="5" t="s">
        <v>367</v>
      </c>
      <c r="Y155" s="5" t="s">
        <v>366</v>
      </c>
      <c r="Z155" s="5"/>
      <c r="AA155" s="5" t="s">
        <v>367</v>
      </c>
      <c r="AB155" s="5" t="s">
        <v>366</v>
      </c>
      <c r="AC155" s="5"/>
      <c r="AD155" s="5" t="s">
        <v>367</v>
      </c>
      <c r="AE155" s="5" t="s">
        <v>366</v>
      </c>
      <c r="AF155" s="5"/>
      <c r="AG155" s="5" t="s">
        <v>367</v>
      </c>
      <c r="AH155" s="5" t="s">
        <v>713</v>
      </c>
    </row>
    <row r="156" spans="1:34" ht="13.5" customHeight="1">
      <c r="A156" s="4" t="s">
        <v>1249</v>
      </c>
      <c r="B156" s="4" t="s">
        <v>53</v>
      </c>
      <c r="C156" s="4" t="s">
        <v>1195</v>
      </c>
      <c r="D156" s="4"/>
      <c r="E156" s="4" t="s">
        <v>1223</v>
      </c>
      <c r="F156" s="4" t="s">
        <v>358</v>
      </c>
      <c r="G156" s="4" t="s">
        <v>1250</v>
      </c>
      <c r="H156" s="4" t="s">
        <v>1251</v>
      </c>
      <c r="I156" s="4"/>
      <c r="J156" s="4" t="s">
        <v>1252</v>
      </c>
      <c r="K156" s="4" t="s">
        <v>1253</v>
      </c>
      <c r="L156" s="4" t="s">
        <v>1254</v>
      </c>
      <c r="M156" s="4" t="s">
        <v>94</v>
      </c>
      <c r="N156" s="4"/>
      <c r="O156" s="4" t="s">
        <v>1230</v>
      </c>
      <c r="P156" s="4" t="s">
        <v>366</v>
      </c>
      <c r="Q156" s="4"/>
      <c r="R156" s="4" t="s">
        <v>367</v>
      </c>
      <c r="S156" s="4" t="s">
        <v>366</v>
      </c>
      <c r="T156" s="4"/>
      <c r="U156" s="4" t="s">
        <v>367</v>
      </c>
      <c r="V156" s="4" t="s">
        <v>366</v>
      </c>
      <c r="W156" s="4"/>
      <c r="X156" s="4" t="s">
        <v>367</v>
      </c>
      <c r="Y156" s="4" t="s">
        <v>366</v>
      </c>
      <c r="Z156" s="4"/>
      <c r="AA156" s="4" t="s">
        <v>367</v>
      </c>
      <c r="AB156" s="4" t="s">
        <v>366</v>
      </c>
      <c r="AC156" s="4"/>
      <c r="AD156" s="4" t="s">
        <v>367</v>
      </c>
      <c r="AE156" s="4" t="s">
        <v>366</v>
      </c>
      <c r="AF156" s="4"/>
      <c r="AG156" s="4" t="s">
        <v>367</v>
      </c>
      <c r="AH156" s="4" t="s">
        <v>713</v>
      </c>
    </row>
    <row r="157" spans="1:34" ht="13.5" customHeight="1">
      <c r="A157" s="5" t="s">
        <v>1255</v>
      </c>
      <c r="B157" s="5" t="s">
        <v>53</v>
      </c>
      <c r="C157" s="5" t="s">
        <v>1195</v>
      </c>
      <c r="D157" s="5"/>
      <c r="E157" s="5" t="s">
        <v>1223</v>
      </c>
      <c r="F157" s="5" t="s">
        <v>358</v>
      </c>
      <c r="G157" s="5" t="s">
        <v>1256</v>
      </c>
      <c r="H157" s="5" t="s">
        <v>1257</v>
      </c>
      <c r="I157" s="5"/>
      <c r="J157" s="5" t="s">
        <v>1258</v>
      </c>
      <c r="K157" s="5" t="s">
        <v>1259</v>
      </c>
      <c r="L157" s="5" t="s">
        <v>1260</v>
      </c>
      <c r="M157" s="5" t="s">
        <v>94</v>
      </c>
      <c r="N157" s="5"/>
      <c r="O157" s="5" t="s">
        <v>1230</v>
      </c>
      <c r="P157" s="5" t="s">
        <v>366</v>
      </c>
      <c r="Q157" s="5"/>
      <c r="R157" s="5" t="s">
        <v>367</v>
      </c>
      <c r="S157" s="5" t="s">
        <v>366</v>
      </c>
      <c r="T157" s="5"/>
      <c r="U157" s="5" t="s">
        <v>367</v>
      </c>
      <c r="V157" s="5" t="s">
        <v>366</v>
      </c>
      <c r="W157" s="5"/>
      <c r="X157" s="5" t="s">
        <v>367</v>
      </c>
      <c r="Y157" s="5" t="s">
        <v>366</v>
      </c>
      <c r="Z157" s="5"/>
      <c r="AA157" s="5" t="s">
        <v>367</v>
      </c>
      <c r="AB157" s="5" t="s">
        <v>366</v>
      </c>
      <c r="AC157" s="5"/>
      <c r="AD157" s="5" t="s">
        <v>367</v>
      </c>
      <c r="AE157" s="5" t="s">
        <v>366</v>
      </c>
      <c r="AF157" s="5"/>
      <c r="AG157" s="5" t="s">
        <v>367</v>
      </c>
      <c r="AH157" s="5" t="s">
        <v>713</v>
      </c>
    </row>
    <row r="158" spans="1:34" ht="13.5" customHeight="1">
      <c r="A158" s="4" t="s">
        <v>1261</v>
      </c>
      <c r="B158" s="4" t="s">
        <v>53</v>
      </c>
      <c r="C158" s="4" t="s">
        <v>1195</v>
      </c>
      <c r="D158" s="4"/>
      <c r="E158" s="4" t="s">
        <v>1262</v>
      </c>
      <c r="F158" s="4" t="s">
        <v>358</v>
      </c>
      <c r="G158" s="4" t="s">
        <v>1263</v>
      </c>
      <c r="H158" s="4" t="s">
        <v>1264</v>
      </c>
      <c r="I158" s="4" t="s">
        <v>1265</v>
      </c>
      <c r="J158" s="4" t="s">
        <v>1266</v>
      </c>
      <c r="K158" s="4" t="s">
        <v>1267</v>
      </c>
      <c r="L158" s="4" t="s">
        <v>1268</v>
      </c>
      <c r="M158" s="4" t="s">
        <v>94</v>
      </c>
      <c r="N158" s="4"/>
      <c r="O158" s="4" t="s">
        <v>1269</v>
      </c>
      <c r="P158" s="4" t="s">
        <v>366</v>
      </c>
      <c r="Q158" s="4"/>
      <c r="R158" s="4" t="s">
        <v>367</v>
      </c>
      <c r="S158" s="4" t="s">
        <v>366</v>
      </c>
      <c r="T158" s="4"/>
      <c r="U158" s="4" t="s">
        <v>367</v>
      </c>
      <c r="V158" s="4" t="s">
        <v>366</v>
      </c>
      <c r="W158" s="4"/>
      <c r="X158" s="4" t="s">
        <v>367</v>
      </c>
      <c r="Y158" s="4" t="s">
        <v>366</v>
      </c>
      <c r="Z158" s="4"/>
      <c r="AA158" s="4" t="s">
        <v>367</v>
      </c>
      <c r="AB158" s="4" t="s">
        <v>366</v>
      </c>
      <c r="AC158" s="4"/>
      <c r="AD158" s="4" t="s">
        <v>367</v>
      </c>
      <c r="AE158" s="4" t="s">
        <v>366</v>
      </c>
      <c r="AF158" s="4"/>
      <c r="AG158" s="4" t="s">
        <v>367</v>
      </c>
      <c r="AH158" s="4" t="s">
        <v>713</v>
      </c>
    </row>
    <row r="159" spans="1:34" ht="13.5" customHeight="1">
      <c r="A159" s="5" t="s">
        <v>1270</v>
      </c>
      <c r="B159" s="5" t="s">
        <v>53</v>
      </c>
      <c r="C159" s="5" t="s">
        <v>1195</v>
      </c>
      <c r="D159" s="5"/>
      <c r="E159" s="5" t="s">
        <v>1271</v>
      </c>
      <c r="F159" s="5" t="s">
        <v>358</v>
      </c>
      <c r="G159" s="5" t="s">
        <v>1272</v>
      </c>
      <c r="H159" s="5" t="s">
        <v>1273</v>
      </c>
      <c r="I159" s="5" t="s">
        <v>1274</v>
      </c>
      <c r="J159" s="5" t="s">
        <v>1275</v>
      </c>
      <c r="K159" s="5" t="s">
        <v>1276</v>
      </c>
      <c r="L159" s="5" t="s">
        <v>1277</v>
      </c>
      <c r="M159" s="5" t="s">
        <v>64</v>
      </c>
      <c r="N159" s="5"/>
      <c r="O159" s="5" t="s">
        <v>1278</v>
      </c>
      <c r="P159" s="5" t="s">
        <v>366</v>
      </c>
      <c r="Q159" s="5"/>
      <c r="R159" s="5" t="s">
        <v>367</v>
      </c>
      <c r="S159" s="5" t="s">
        <v>366</v>
      </c>
      <c r="T159" s="5"/>
      <c r="U159" s="5" t="s">
        <v>367</v>
      </c>
      <c r="V159" s="5" t="s">
        <v>366</v>
      </c>
      <c r="W159" s="5"/>
      <c r="X159" s="5" t="s">
        <v>367</v>
      </c>
      <c r="Y159" s="5" t="s">
        <v>366</v>
      </c>
      <c r="Z159" s="5"/>
      <c r="AA159" s="5" t="s">
        <v>367</v>
      </c>
      <c r="AB159" s="5" t="s">
        <v>366</v>
      </c>
      <c r="AC159" s="5"/>
      <c r="AD159" s="5" t="s">
        <v>367</v>
      </c>
      <c r="AE159" s="5" t="s">
        <v>366</v>
      </c>
      <c r="AF159" s="5"/>
      <c r="AG159" s="5" t="s">
        <v>367</v>
      </c>
      <c r="AH159" s="5" t="s">
        <v>713</v>
      </c>
    </row>
    <row r="160" spans="1:34" ht="13.5" customHeight="1">
      <c r="A160" s="4" t="s">
        <v>1279</v>
      </c>
      <c r="B160" s="4" t="s">
        <v>53</v>
      </c>
      <c r="C160" s="4" t="s">
        <v>1195</v>
      </c>
      <c r="D160" s="4"/>
      <c r="E160" s="4" t="s">
        <v>1271</v>
      </c>
      <c r="F160" s="4" t="s">
        <v>358</v>
      </c>
      <c r="G160" s="4" t="s">
        <v>1280</v>
      </c>
      <c r="H160" s="4" t="s">
        <v>1281</v>
      </c>
      <c r="I160" s="4" t="s">
        <v>1274</v>
      </c>
      <c r="J160" s="4" t="s">
        <v>1275</v>
      </c>
      <c r="K160" s="4" t="s">
        <v>1282</v>
      </c>
      <c r="L160" s="4" t="s">
        <v>1277</v>
      </c>
      <c r="M160" s="4" t="s">
        <v>64</v>
      </c>
      <c r="N160" s="4"/>
      <c r="O160" s="4" t="s">
        <v>1278</v>
      </c>
      <c r="P160" s="4" t="s">
        <v>366</v>
      </c>
      <c r="Q160" s="4"/>
      <c r="R160" s="4" t="s">
        <v>367</v>
      </c>
      <c r="S160" s="4" t="s">
        <v>366</v>
      </c>
      <c r="T160" s="4"/>
      <c r="U160" s="4" t="s">
        <v>367</v>
      </c>
      <c r="V160" s="4" t="s">
        <v>366</v>
      </c>
      <c r="W160" s="4"/>
      <c r="X160" s="4" t="s">
        <v>367</v>
      </c>
      <c r="Y160" s="4" t="s">
        <v>366</v>
      </c>
      <c r="Z160" s="4"/>
      <c r="AA160" s="4" t="s">
        <v>367</v>
      </c>
      <c r="AB160" s="4" t="s">
        <v>366</v>
      </c>
      <c r="AC160" s="4"/>
      <c r="AD160" s="4" t="s">
        <v>367</v>
      </c>
      <c r="AE160" s="4" t="s">
        <v>366</v>
      </c>
      <c r="AF160" s="4"/>
      <c r="AG160" s="4" t="s">
        <v>367</v>
      </c>
      <c r="AH160" s="4" t="s">
        <v>713</v>
      </c>
    </row>
    <row r="161" spans="1:34" ht="13.5" customHeight="1">
      <c r="A161" s="5" t="s">
        <v>1283</v>
      </c>
      <c r="B161" s="5" t="s">
        <v>53</v>
      </c>
      <c r="C161" s="5" t="s">
        <v>1195</v>
      </c>
      <c r="D161" s="5"/>
      <c r="E161" s="5" t="s">
        <v>1271</v>
      </c>
      <c r="F161" s="5" t="s">
        <v>358</v>
      </c>
      <c r="G161" s="5" t="s">
        <v>1284</v>
      </c>
      <c r="H161" s="5" t="s">
        <v>1285</v>
      </c>
      <c r="I161" s="5" t="s">
        <v>1274</v>
      </c>
      <c r="J161" s="5" t="s">
        <v>1275</v>
      </c>
      <c r="K161" s="5" t="s">
        <v>1286</v>
      </c>
      <c r="L161" s="5" t="s">
        <v>1277</v>
      </c>
      <c r="M161" s="5" t="s">
        <v>64</v>
      </c>
      <c r="N161" s="5"/>
      <c r="O161" s="5" t="s">
        <v>1278</v>
      </c>
      <c r="P161" s="5" t="s">
        <v>366</v>
      </c>
      <c r="Q161" s="5"/>
      <c r="R161" s="5" t="s">
        <v>367</v>
      </c>
      <c r="S161" s="5" t="s">
        <v>366</v>
      </c>
      <c r="T161" s="5"/>
      <c r="U161" s="5" t="s">
        <v>367</v>
      </c>
      <c r="V161" s="5" t="s">
        <v>366</v>
      </c>
      <c r="W161" s="5"/>
      <c r="X161" s="5" t="s">
        <v>367</v>
      </c>
      <c r="Y161" s="5" t="s">
        <v>366</v>
      </c>
      <c r="Z161" s="5"/>
      <c r="AA161" s="5" t="s">
        <v>367</v>
      </c>
      <c r="AB161" s="5" t="s">
        <v>366</v>
      </c>
      <c r="AC161" s="5"/>
      <c r="AD161" s="5" t="s">
        <v>367</v>
      </c>
      <c r="AE161" s="5" t="s">
        <v>366</v>
      </c>
      <c r="AF161" s="5"/>
      <c r="AG161" s="5" t="s">
        <v>367</v>
      </c>
      <c r="AH161" s="5" t="s">
        <v>713</v>
      </c>
    </row>
    <row r="162" spans="1:34" ht="13.5" customHeight="1">
      <c r="A162" s="4" t="s">
        <v>1287</v>
      </c>
      <c r="B162" s="4" t="s">
        <v>53</v>
      </c>
      <c r="C162" s="4" t="s">
        <v>1195</v>
      </c>
      <c r="D162" s="4"/>
      <c r="E162" s="4" t="s">
        <v>1271</v>
      </c>
      <c r="F162" s="4" t="s">
        <v>358</v>
      </c>
      <c r="G162" s="4" t="s">
        <v>1288</v>
      </c>
      <c r="H162" s="4" t="s">
        <v>1289</v>
      </c>
      <c r="I162" s="4" t="s">
        <v>1274</v>
      </c>
      <c r="J162" s="4" t="s">
        <v>1275</v>
      </c>
      <c r="K162" s="4" t="s">
        <v>1290</v>
      </c>
      <c r="L162" s="4" t="s">
        <v>1277</v>
      </c>
      <c r="M162" s="4" t="s">
        <v>64</v>
      </c>
      <c r="N162" s="4"/>
      <c r="O162" s="4" t="s">
        <v>1278</v>
      </c>
      <c r="P162" s="4" t="s">
        <v>366</v>
      </c>
      <c r="Q162" s="4"/>
      <c r="R162" s="4" t="s">
        <v>367</v>
      </c>
      <c r="S162" s="4" t="s">
        <v>366</v>
      </c>
      <c r="T162" s="4"/>
      <c r="U162" s="4" t="s">
        <v>367</v>
      </c>
      <c r="V162" s="4" t="s">
        <v>366</v>
      </c>
      <c r="W162" s="4"/>
      <c r="X162" s="4" t="s">
        <v>367</v>
      </c>
      <c r="Y162" s="4" t="s">
        <v>366</v>
      </c>
      <c r="Z162" s="4"/>
      <c r="AA162" s="4" t="s">
        <v>367</v>
      </c>
      <c r="AB162" s="4" t="s">
        <v>366</v>
      </c>
      <c r="AC162" s="4"/>
      <c r="AD162" s="4" t="s">
        <v>367</v>
      </c>
      <c r="AE162" s="4" t="s">
        <v>366</v>
      </c>
      <c r="AF162" s="4"/>
      <c r="AG162" s="4" t="s">
        <v>367</v>
      </c>
      <c r="AH162" s="4" t="s">
        <v>713</v>
      </c>
    </row>
    <row r="163" spans="1:34" ht="13.5" customHeight="1">
      <c r="A163" s="5" t="s">
        <v>1291</v>
      </c>
      <c r="B163" s="5" t="s">
        <v>53</v>
      </c>
      <c r="C163" s="5" t="s">
        <v>1195</v>
      </c>
      <c r="D163" s="5"/>
      <c r="E163" s="5" t="s">
        <v>1271</v>
      </c>
      <c r="F163" s="5" t="s">
        <v>358</v>
      </c>
      <c r="G163" s="5" t="s">
        <v>1292</v>
      </c>
      <c r="H163" s="5" t="s">
        <v>1293</v>
      </c>
      <c r="I163" s="5" t="s">
        <v>1274</v>
      </c>
      <c r="J163" s="5" t="s">
        <v>1275</v>
      </c>
      <c r="K163" s="5" t="s">
        <v>1294</v>
      </c>
      <c r="L163" s="5" t="s">
        <v>1277</v>
      </c>
      <c r="M163" s="5" t="s">
        <v>64</v>
      </c>
      <c r="N163" s="5"/>
      <c r="O163" s="5" t="s">
        <v>1278</v>
      </c>
      <c r="P163" s="5" t="s">
        <v>366</v>
      </c>
      <c r="Q163" s="5"/>
      <c r="R163" s="5" t="s">
        <v>367</v>
      </c>
      <c r="S163" s="5" t="s">
        <v>366</v>
      </c>
      <c r="T163" s="5"/>
      <c r="U163" s="5" t="s">
        <v>367</v>
      </c>
      <c r="V163" s="5" t="s">
        <v>366</v>
      </c>
      <c r="W163" s="5"/>
      <c r="X163" s="5" t="s">
        <v>367</v>
      </c>
      <c r="Y163" s="5" t="s">
        <v>366</v>
      </c>
      <c r="Z163" s="5"/>
      <c r="AA163" s="5" t="s">
        <v>367</v>
      </c>
      <c r="AB163" s="5" t="s">
        <v>366</v>
      </c>
      <c r="AC163" s="5"/>
      <c r="AD163" s="5" t="s">
        <v>367</v>
      </c>
      <c r="AE163" s="5" t="s">
        <v>366</v>
      </c>
      <c r="AF163" s="5"/>
      <c r="AG163" s="5" t="s">
        <v>367</v>
      </c>
      <c r="AH163" s="5" t="s">
        <v>713</v>
      </c>
    </row>
    <row r="164" spans="1:34" ht="13.5" customHeight="1">
      <c r="A164" s="4" t="s">
        <v>1295</v>
      </c>
      <c r="B164" s="4" t="s">
        <v>53</v>
      </c>
      <c r="C164" s="4" t="s">
        <v>1195</v>
      </c>
      <c r="D164" s="4"/>
      <c r="E164" s="4" t="s">
        <v>1296</v>
      </c>
      <c r="F164" s="4" t="s">
        <v>358</v>
      </c>
      <c r="G164" s="4" t="s">
        <v>1297</v>
      </c>
      <c r="H164" s="4" t="s">
        <v>1298</v>
      </c>
      <c r="I164" s="4" t="s">
        <v>1299</v>
      </c>
      <c r="J164" s="4" t="s">
        <v>1300</v>
      </c>
      <c r="K164" s="4" t="s">
        <v>1301</v>
      </c>
      <c r="L164" s="4" t="s">
        <v>1302</v>
      </c>
      <c r="M164" s="4" t="s">
        <v>94</v>
      </c>
      <c r="N164" s="4"/>
      <c r="O164" s="4" t="s">
        <v>1303</v>
      </c>
      <c r="P164" s="4" t="s">
        <v>366</v>
      </c>
      <c r="Q164" s="4"/>
      <c r="R164" s="4" t="s">
        <v>367</v>
      </c>
      <c r="S164" s="4" t="s">
        <v>366</v>
      </c>
      <c r="T164" s="4"/>
      <c r="U164" s="4" t="s">
        <v>367</v>
      </c>
      <c r="V164" s="4" t="s">
        <v>366</v>
      </c>
      <c r="W164" s="4"/>
      <c r="X164" s="4" t="s">
        <v>367</v>
      </c>
      <c r="Y164" s="4" t="s">
        <v>366</v>
      </c>
      <c r="Z164" s="4"/>
      <c r="AA164" s="4" t="s">
        <v>367</v>
      </c>
      <c r="AB164" s="4" t="s">
        <v>366</v>
      </c>
      <c r="AC164" s="4"/>
      <c r="AD164" s="4" t="s">
        <v>367</v>
      </c>
      <c r="AE164" s="4" t="s">
        <v>366</v>
      </c>
      <c r="AF164" s="4"/>
      <c r="AG164" s="4" t="s">
        <v>367</v>
      </c>
      <c r="AH164" s="4" t="s">
        <v>713</v>
      </c>
    </row>
    <row r="165" spans="1:34" ht="13.5" customHeight="1">
      <c r="A165" s="5" t="s">
        <v>1304</v>
      </c>
      <c r="B165" s="5" t="s">
        <v>53</v>
      </c>
      <c r="C165" s="5" t="s">
        <v>1195</v>
      </c>
      <c r="D165" s="5"/>
      <c r="E165" s="5" t="s">
        <v>1305</v>
      </c>
      <c r="F165" s="5" t="s">
        <v>358</v>
      </c>
      <c r="G165" s="5" t="s">
        <v>1306</v>
      </c>
      <c r="H165" s="5" t="s">
        <v>1307</v>
      </c>
      <c r="I165" s="5" t="s">
        <v>1308</v>
      </c>
      <c r="J165" s="5" t="s">
        <v>1309</v>
      </c>
      <c r="K165" s="5" t="s">
        <v>1310</v>
      </c>
      <c r="L165" s="5" t="s">
        <v>1311</v>
      </c>
      <c r="M165" s="5" t="s">
        <v>94</v>
      </c>
      <c r="N165" s="5"/>
      <c r="O165" s="5" t="s">
        <v>1312</v>
      </c>
      <c r="P165" s="5" t="s">
        <v>366</v>
      </c>
      <c r="Q165" s="5"/>
      <c r="R165" s="5" t="s">
        <v>367</v>
      </c>
      <c r="S165" s="5" t="s">
        <v>366</v>
      </c>
      <c r="T165" s="5"/>
      <c r="U165" s="5" t="s">
        <v>367</v>
      </c>
      <c r="V165" s="5" t="s">
        <v>366</v>
      </c>
      <c r="W165" s="5"/>
      <c r="X165" s="5" t="s">
        <v>367</v>
      </c>
      <c r="Y165" s="5" t="s">
        <v>366</v>
      </c>
      <c r="Z165" s="5"/>
      <c r="AA165" s="5" t="s">
        <v>367</v>
      </c>
      <c r="AB165" s="5" t="s">
        <v>366</v>
      </c>
      <c r="AC165" s="5"/>
      <c r="AD165" s="5" t="s">
        <v>367</v>
      </c>
      <c r="AE165" s="5" t="s">
        <v>366</v>
      </c>
      <c r="AF165" s="5"/>
      <c r="AG165" s="5" t="s">
        <v>367</v>
      </c>
      <c r="AH165" s="5" t="s">
        <v>713</v>
      </c>
    </row>
    <row r="166" spans="1:34" ht="13.5" customHeight="1">
      <c r="A166" s="4" t="s">
        <v>1313</v>
      </c>
      <c r="B166" s="4" t="s">
        <v>53</v>
      </c>
      <c r="C166" s="4" t="s">
        <v>1195</v>
      </c>
      <c r="D166" s="4"/>
      <c r="E166" s="4" t="s">
        <v>1314</v>
      </c>
      <c r="F166" s="4" t="s">
        <v>358</v>
      </c>
      <c r="G166" s="4" t="s">
        <v>1315</v>
      </c>
      <c r="H166" s="4" t="s">
        <v>1316</v>
      </c>
      <c r="I166" s="4" t="s">
        <v>1317</v>
      </c>
      <c r="J166" s="4" t="s">
        <v>1318</v>
      </c>
      <c r="K166" s="4" t="s">
        <v>1319</v>
      </c>
      <c r="L166" s="4" t="s">
        <v>1320</v>
      </c>
      <c r="M166" s="4" t="s">
        <v>64</v>
      </c>
      <c r="N166" s="4"/>
      <c r="O166" s="4" t="s">
        <v>1321</v>
      </c>
      <c r="P166" s="4" t="s">
        <v>366</v>
      </c>
      <c r="Q166" s="4"/>
      <c r="R166" s="4" t="s">
        <v>367</v>
      </c>
      <c r="S166" s="4" t="s">
        <v>366</v>
      </c>
      <c r="T166" s="4"/>
      <c r="U166" s="4" t="s">
        <v>367</v>
      </c>
      <c r="V166" s="4" t="s">
        <v>366</v>
      </c>
      <c r="W166" s="4"/>
      <c r="X166" s="4" t="s">
        <v>367</v>
      </c>
      <c r="Y166" s="4" t="s">
        <v>366</v>
      </c>
      <c r="Z166" s="4"/>
      <c r="AA166" s="4" t="s">
        <v>367</v>
      </c>
      <c r="AB166" s="4" t="s">
        <v>366</v>
      </c>
      <c r="AC166" s="4"/>
      <c r="AD166" s="4" t="s">
        <v>367</v>
      </c>
      <c r="AE166" s="4" t="s">
        <v>366</v>
      </c>
      <c r="AF166" s="4"/>
      <c r="AG166" s="4" t="s">
        <v>367</v>
      </c>
      <c r="AH166" s="4" t="s">
        <v>713</v>
      </c>
    </row>
    <row r="167" spans="1:34" ht="13.5" customHeight="1">
      <c r="A167" s="5" t="s">
        <v>1322</v>
      </c>
      <c r="B167" s="5" t="s">
        <v>53</v>
      </c>
      <c r="C167" s="5" t="s">
        <v>1195</v>
      </c>
      <c r="D167" s="5"/>
      <c r="E167" s="5" t="s">
        <v>1323</v>
      </c>
      <c r="F167" s="5" t="s">
        <v>358</v>
      </c>
      <c r="G167" s="5" t="s">
        <v>1324</v>
      </c>
      <c r="H167" s="5" t="s">
        <v>1325</v>
      </c>
      <c r="I167" s="5" t="s">
        <v>1326</v>
      </c>
      <c r="J167" s="5" t="s">
        <v>1327</v>
      </c>
      <c r="K167" s="5" t="s">
        <v>1328</v>
      </c>
      <c r="L167" s="5" t="s">
        <v>1329</v>
      </c>
      <c r="M167" s="5" t="s">
        <v>94</v>
      </c>
      <c r="N167" s="5"/>
      <c r="O167" s="5" t="s">
        <v>1330</v>
      </c>
      <c r="P167" s="5" t="s">
        <v>366</v>
      </c>
      <c r="Q167" s="5"/>
      <c r="R167" s="5" t="s">
        <v>367</v>
      </c>
      <c r="S167" s="5" t="s">
        <v>366</v>
      </c>
      <c r="T167" s="5"/>
      <c r="U167" s="5" t="s">
        <v>367</v>
      </c>
      <c r="V167" s="5" t="s">
        <v>366</v>
      </c>
      <c r="W167" s="5"/>
      <c r="X167" s="5" t="s">
        <v>367</v>
      </c>
      <c r="Y167" s="5" t="s">
        <v>366</v>
      </c>
      <c r="Z167" s="5"/>
      <c r="AA167" s="5" t="s">
        <v>367</v>
      </c>
      <c r="AB167" s="5" t="s">
        <v>366</v>
      </c>
      <c r="AC167" s="5"/>
      <c r="AD167" s="5" t="s">
        <v>367</v>
      </c>
      <c r="AE167" s="5" t="s">
        <v>366</v>
      </c>
      <c r="AF167" s="5"/>
      <c r="AG167" s="5" t="s">
        <v>367</v>
      </c>
      <c r="AH167" s="5" t="s">
        <v>713</v>
      </c>
    </row>
    <row r="168" spans="1:34" ht="13.5" customHeight="1">
      <c r="A168" s="4" t="s">
        <v>1331</v>
      </c>
      <c r="B168" s="4" t="s">
        <v>53</v>
      </c>
      <c r="C168" s="4" t="s">
        <v>1195</v>
      </c>
      <c r="D168" s="4"/>
      <c r="E168" s="4" t="s">
        <v>1323</v>
      </c>
      <c r="F168" s="4" t="s">
        <v>358</v>
      </c>
      <c r="G168" s="4" t="s">
        <v>1332</v>
      </c>
      <c r="H168" s="4" t="s">
        <v>1333</v>
      </c>
      <c r="I168" s="4" t="s">
        <v>1326</v>
      </c>
      <c r="J168" s="4" t="s">
        <v>1327</v>
      </c>
      <c r="K168" s="4" t="s">
        <v>1334</v>
      </c>
      <c r="L168" s="4" t="s">
        <v>1329</v>
      </c>
      <c r="M168" s="4" t="s">
        <v>94</v>
      </c>
      <c r="N168" s="4"/>
      <c r="O168" s="4" t="s">
        <v>1330</v>
      </c>
      <c r="P168" s="4" t="s">
        <v>366</v>
      </c>
      <c r="Q168" s="4"/>
      <c r="R168" s="4" t="s">
        <v>367</v>
      </c>
      <c r="S168" s="4" t="s">
        <v>366</v>
      </c>
      <c r="T168" s="4"/>
      <c r="U168" s="4" t="s">
        <v>367</v>
      </c>
      <c r="V168" s="4" t="s">
        <v>366</v>
      </c>
      <c r="W168" s="4"/>
      <c r="X168" s="4" t="s">
        <v>367</v>
      </c>
      <c r="Y168" s="4" t="s">
        <v>366</v>
      </c>
      <c r="Z168" s="4"/>
      <c r="AA168" s="4" t="s">
        <v>367</v>
      </c>
      <c r="AB168" s="4" t="s">
        <v>366</v>
      </c>
      <c r="AC168" s="4"/>
      <c r="AD168" s="4" t="s">
        <v>367</v>
      </c>
      <c r="AE168" s="4" t="s">
        <v>366</v>
      </c>
      <c r="AF168" s="4"/>
      <c r="AG168" s="4" t="s">
        <v>367</v>
      </c>
      <c r="AH168" s="4" t="s">
        <v>713</v>
      </c>
    </row>
    <row r="169" spans="1:34" ht="13.5" customHeight="1">
      <c r="A169" s="5" t="s">
        <v>1335</v>
      </c>
      <c r="B169" s="5" t="s">
        <v>53</v>
      </c>
      <c r="C169" s="5" t="s">
        <v>1195</v>
      </c>
      <c r="D169" s="5"/>
      <c r="E169" s="5" t="s">
        <v>1323</v>
      </c>
      <c r="F169" s="5" t="s">
        <v>358</v>
      </c>
      <c r="G169" s="5" t="s">
        <v>1336</v>
      </c>
      <c r="H169" s="5" t="s">
        <v>1337</v>
      </c>
      <c r="I169" s="5" t="s">
        <v>1326</v>
      </c>
      <c r="J169" s="5" t="s">
        <v>1327</v>
      </c>
      <c r="K169" s="5" t="s">
        <v>1338</v>
      </c>
      <c r="L169" s="5" t="s">
        <v>1329</v>
      </c>
      <c r="M169" s="5" t="s">
        <v>94</v>
      </c>
      <c r="N169" s="5"/>
      <c r="O169" s="5" t="s">
        <v>1330</v>
      </c>
      <c r="P169" s="5" t="s">
        <v>366</v>
      </c>
      <c r="Q169" s="5"/>
      <c r="R169" s="5" t="s">
        <v>367</v>
      </c>
      <c r="S169" s="5" t="s">
        <v>366</v>
      </c>
      <c r="T169" s="5"/>
      <c r="U169" s="5" t="s">
        <v>367</v>
      </c>
      <c r="V169" s="5" t="s">
        <v>366</v>
      </c>
      <c r="W169" s="5"/>
      <c r="X169" s="5" t="s">
        <v>367</v>
      </c>
      <c r="Y169" s="5" t="s">
        <v>366</v>
      </c>
      <c r="Z169" s="5"/>
      <c r="AA169" s="5" t="s">
        <v>367</v>
      </c>
      <c r="AB169" s="5" t="s">
        <v>366</v>
      </c>
      <c r="AC169" s="5"/>
      <c r="AD169" s="5" t="s">
        <v>367</v>
      </c>
      <c r="AE169" s="5" t="s">
        <v>366</v>
      </c>
      <c r="AF169" s="5"/>
      <c r="AG169" s="5" t="s">
        <v>367</v>
      </c>
      <c r="AH169" s="5" t="s">
        <v>713</v>
      </c>
    </row>
    <row r="170" spans="1:34" ht="13.5" customHeight="1">
      <c r="A170" s="4" t="s">
        <v>1339</v>
      </c>
      <c r="B170" s="4" t="s">
        <v>53</v>
      </c>
      <c r="C170" s="4" t="s">
        <v>1195</v>
      </c>
      <c r="D170" s="4"/>
      <c r="E170" s="4" t="s">
        <v>1323</v>
      </c>
      <c r="F170" s="4" t="s">
        <v>358</v>
      </c>
      <c r="G170" s="4" t="s">
        <v>1340</v>
      </c>
      <c r="H170" s="4" t="s">
        <v>1341</v>
      </c>
      <c r="I170" s="4" t="s">
        <v>1326</v>
      </c>
      <c r="J170" s="4" t="s">
        <v>1327</v>
      </c>
      <c r="K170" s="4" t="s">
        <v>1342</v>
      </c>
      <c r="L170" s="4" t="s">
        <v>1329</v>
      </c>
      <c r="M170" s="4" t="s">
        <v>94</v>
      </c>
      <c r="N170" s="4"/>
      <c r="O170" s="4" t="s">
        <v>1330</v>
      </c>
      <c r="P170" s="4" t="s">
        <v>366</v>
      </c>
      <c r="Q170" s="4"/>
      <c r="R170" s="4" t="s">
        <v>367</v>
      </c>
      <c r="S170" s="4" t="s">
        <v>366</v>
      </c>
      <c r="T170" s="4"/>
      <c r="U170" s="4" t="s">
        <v>367</v>
      </c>
      <c r="V170" s="4" t="s">
        <v>366</v>
      </c>
      <c r="W170" s="4"/>
      <c r="X170" s="4" t="s">
        <v>367</v>
      </c>
      <c r="Y170" s="4" t="s">
        <v>366</v>
      </c>
      <c r="Z170" s="4"/>
      <c r="AA170" s="4" t="s">
        <v>367</v>
      </c>
      <c r="AB170" s="4" t="s">
        <v>366</v>
      </c>
      <c r="AC170" s="4"/>
      <c r="AD170" s="4" t="s">
        <v>367</v>
      </c>
      <c r="AE170" s="4" t="s">
        <v>366</v>
      </c>
      <c r="AF170" s="4"/>
      <c r="AG170" s="4" t="s">
        <v>367</v>
      </c>
      <c r="AH170" s="4" t="s">
        <v>713</v>
      </c>
    </row>
    <row r="171" spans="1:34" ht="13.5" customHeight="1">
      <c r="A171" s="5" t="s">
        <v>1343</v>
      </c>
      <c r="B171" s="5" t="s">
        <v>53</v>
      </c>
      <c r="C171" s="5" t="s">
        <v>1195</v>
      </c>
      <c r="D171" s="5"/>
      <c r="E171" s="5" t="s">
        <v>1323</v>
      </c>
      <c r="F171" s="5" t="s">
        <v>358</v>
      </c>
      <c r="G171" s="5" t="s">
        <v>1344</v>
      </c>
      <c r="H171" s="5" t="s">
        <v>1345</v>
      </c>
      <c r="I171" s="5"/>
      <c r="J171" s="5" t="s">
        <v>1346</v>
      </c>
      <c r="K171" s="5" t="s">
        <v>1347</v>
      </c>
      <c r="L171" s="5" t="s">
        <v>1348</v>
      </c>
      <c r="M171" s="5" t="s">
        <v>94</v>
      </c>
      <c r="N171" s="5"/>
      <c r="O171" s="5" t="s">
        <v>1330</v>
      </c>
      <c r="P171" s="5" t="s">
        <v>366</v>
      </c>
      <c r="Q171" s="5"/>
      <c r="R171" s="5" t="s">
        <v>367</v>
      </c>
      <c r="S171" s="5" t="s">
        <v>366</v>
      </c>
      <c r="T171" s="5"/>
      <c r="U171" s="5" t="s">
        <v>367</v>
      </c>
      <c r="V171" s="5" t="s">
        <v>366</v>
      </c>
      <c r="W171" s="5"/>
      <c r="X171" s="5" t="s">
        <v>367</v>
      </c>
      <c r="Y171" s="5" t="s">
        <v>366</v>
      </c>
      <c r="Z171" s="5"/>
      <c r="AA171" s="5" t="s">
        <v>367</v>
      </c>
      <c r="AB171" s="5" t="s">
        <v>366</v>
      </c>
      <c r="AC171" s="5"/>
      <c r="AD171" s="5" t="s">
        <v>367</v>
      </c>
      <c r="AE171" s="5" t="s">
        <v>366</v>
      </c>
      <c r="AF171" s="5"/>
      <c r="AG171" s="5" t="s">
        <v>367</v>
      </c>
      <c r="AH171" s="5" t="s">
        <v>713</v>
      </c>
    </row>
    <row r="172" spans="1:34" ht="13.5" customHeight="1">
      <c r="A172" s="4" t="s">
        <v>1349</v>
      </c>
      <c r="B172" s="4" t="s">
        <v>53</v>
      </c>
      <c r="C172" s="4" t="s">
        <v>1195</v>
      </c>
      <c r="D172" s="4"/>
      <c r="E172" s="4" t="s">
        <v>1323</v>
      </c>
      <c r="F172" s="4" t="s">
        <v>358</v>
      </c>
      <c r="G172" s="4" t="s">
        <v>1350</v>
      </c>
      <c r="H172" s="4" t="s">
        <v>1351</v>
      </c>
      <c r="I172" s="4"/>
      <c r="J172" s="4" t="s">
        <v>1352</v>
      </c>
      <c r="K172" s="4" t="s">
        <v>1353</v>
      </c>
      <c r="L172" s="4" t="s">
        <v>1354</v>
      </c>
      <c r="M172" s="4" t="s">
        <v>94</v>
      </c>
      <c r="N172" s="4"/>
      <c r="O172" s="4" t="s">
        <v>1330</v>
      </c>
      <c r="P172" s="4" t="s">
        <v>366</v>
      </c>
      <c r="Q172" s="4"/>
      <c r="R172" s="4" t="s">
        <v>367</v>
      </c>
      <c r="S172" s="4" t="s">
        <v>366</v>
      </c>
      <c r="T172" s="4"/>
      <c r="U172" s="4" t="s">
        <v>367</v>
      </c>
      <c r="V172" s="4" t="s">
        <v>366</v>
      </c>
      <c r="W172" s="4"/>
      <c r="X172" s="4" t="s">
        <v>367</v>
      </c>
      <c r="Y172" s="4" t="s">
        <v>366</v>
      </c>
      <c r="Z172" s="4"/>
      <c r="AA172" s="4" t="s">
        <v>367</v>
      </c>
      <c r="AB172" s="4" t="s">
        <v>366</v>
      </c>
      <c r="AC172" s="4"/>
      <c r="AD172" s="4" t="s">
        <v>367</v>
      </c>
      <c r="AE172" s="4" t="s">
        <v>366</v>
      </c>
      <c r="AF172" s="4"/>
      <c r="AG172" s="4" t="s">
        <v>367</v>
      </c>
      <c r="AH172" s="4" t="s">
        <v>713</v>
      </c>
    </row>
    <row r="173" spans="1:34" ht="13.5" customHeight="1">
      <c r="A173" s="5" t="s">
        <v>1355</v>
      </c>
      <c r="B173" s="5" t="s">
        <v>53</v>
      </c>
      <c r="C173" s="5" t="s">
        <v>1195</v>
      </c>
      <c r="D173" s="5"/>
      <c r="E173" s="5" t="s">
        <v>1323</v>
      </c>
      <c r="F173" s="5" t="s">
        <v>358</v>
      </c>
      <c r="G173" s="5" t="s">
        <v>1356</v>
      </c>
      <c r="H173" s="5" t="s">
        <v>1357</v>
      </c>
      <c r="I173" s="5"/>
      <c r="J173" s="5" t="s">
        <v>1358</v>
      </c>
      <c r="K173" s="5" t="s">
        <v>1359</v>
      </c>
      <c r="L173" s="5" t="s">
        <v>1360</v>
      </c>
      <c r="M173" s="5" t="s">
        <v>94</v>
      </c>
      <c r="N173" s="5"/>
      <c r="O173" s="5" t="s">
        <v>1330</v>
      </c>
      <c r="P173" s="5" t="s">
        <v>366</v>
      </c>
      <c r="Q173" s="5"/>
      <c r="R173" s="5" t="s">
        <v>367</v>
      </c>
      <c r="S173" s="5" t="s">
        <v>366</v>
      </c>
      <c r="T173" s="5"/>
      <c r="U173" s="5" t="s">
        <v>367</v>
      </c>
      <c r="V173" s="5" t="s">
        <v>366</v>
      </c>
      <c r="W173" s="5"/>
      <c r="X173" s="5" t="s">
        <v>367</v>
      </c>
      <c r="Y173" s="5" t="s">
        <v>366</v>
      </c>
      <c r="Z173" s="5"/>
      <c r="AA173" s="5" t="s">
        <v>367</v>
      </c>
      <c r="AB173" s="5" t="s">
        <v>366</v>
      </c>
      <c r="AC173" s="5"/>
      <c r="AD173" s="5" t="s">
        <v>367</v>
      </c>
      <c r="AE173" s="5" t="s">
        <v>366</v>
      </c>
      <c r="AF173" s="5"/>
      <c r="AG173" s="5" t="s">
        <v>367</v>
      </c>
      <c r="AH173" s="5" t="s">
        <v>713</v>
      </c>
    </row>
    <row r="174" spans="1:34" ht="13.5" customHeight="1">
      <c r="A174" s="4" t="s">
        <v>1361</v>
      </c>
      <c r="B174" s="4" t="s">
        <v>53</v>
      </c>
      <c r="C174" s="4" t="s">
        <v>1195</v>
      </c>
      <c r="D174" s="4"/>
      <c r="E174" s="4" t="s">
        <v>1323</v>
      </c>
      <c r="F174" s="4" t="s">
        <v>358</v>
      </c>
      <c r="G174" s="4" t="s">
        <v>1362</v>
      </c>
      <c r="H174" s="4" t="s">
        <v>1363</v>
      </c>
      <c r="I174" s="4" t="s">
        <v>1326</v>
      </c>
      <c r="J174" s="4" t="s">
        <v>1327</v>
      </c>
      <c r="K174" s="4" t="s">
        <v>1364</v>
      </c>
      <c r="L174" s="4" t="s">
        <v>1329</v>
      </c>
      <c r="M174" s="4" t="s">
        <v>94</v>
      </c>
      <c r="N174" s="4"/>
      <c r="O174" s="4" t="s">
        <v>1330</v>
      </c>
      <c r="P174" s="4" t="s">
        <v>366</v>
      </c>
      <c r="Q174" s="4"/>
      <c r="R174" s="4" t="s">
        <v>367</v>
      </c>
      <c r="S174" s="4" t="s">
        <v>366</v>
      </c>
      <c r="T174" s="4"/>
      <c r="U174" s="4" t="s">
        <v>367</v>
      </c>
      <c r="V174" s="4" t="s">
        <v>366</v>
      </c>
      <c r="W174" s="4"/>
      <c r="X174" s="4" t="s">
        <v>367</v>
      </c>
      <c r="Y174" s="4" t="s">
        <v>366</v>
      </c>
      <c r="Z174" s="4"/>
      <c r="AA174" s="4" t="s">
        <v>367</v>
      </c>
      <c r="AB174" s="4" t="s">
        <v>366</v>
      </c>
      <c r="AC174" s="4"/>
      <c r="AD174" s="4" t="s">
        <v>367</v>
      </c>
      <c r="AE174" s="4" t="s">
        <v>366</v>
      </c>
      <c r="AF174" s="4"/>
      <c r="AG174" s="4" t="s">
        <v>367</v>
      </c>
      <c r="AH174" s="4" t="s">
        <v>713</v>
      </c>
    </row>
    <row r="175" spans="1:34" ht="13.5" customHeight="1">
      <c r="A175" s="5" t="s">
        <v>1365</v>
      </c>
      <c r="B175" s="5" t="s">
        <v>53</v>
      </c>
      <c r="C175" s="5" t="s">
        <v>1195</v>
      </c>
      <c r="D175" s="5"/>
      <c r="E175" s="5" t="s">
        <v>1366</v>
      </c>
      <c r="F175" s="5" t="s">
        <v>358</v>
      </c>
      <c r="G175" s="5" t="s">
        <v>1367</v>
      </c>
      <c r="H175" s="5" t="s">
        <v>1368</v>
      </c>
      <c r="I175" s="5" t="s">
        <v>1369</v>
      </c>
      <c r="J175" s="5" t="s">
        <v>1370</v>
      </c>
      <c r="K175" s="5" t="s">
        <v>1371</v>
      </c>
      <c r="L175" s="5" t="s">
        <v>1372</v>
      </c>
      <c r="M175" s="5" t="s">
        <v>94</v>
      </c>
      <c r="N175" s="5"/>
      <c r="O175" s="5" t="s">
        <v>1373</v>
      </c>
      <c r="P175" s="5" t="s">
        <v>366</v>
      </c>
      <c r="Q175" s="5"/>
      <c r="R175" s="5" t="s">
        <v>367</v>
      </c>
      <c r="S175" s="5" t="s">
        <v>366</v>
      </c>
      <c r="T175" s="5"/>
      <c r="U175" s="5" t="s">
        <v>367</v>
      </c>
      <c r="V175" s="5" t="s">
        <v>366</v>
      </c>
      <c r="W175" s="5"/>
      <c r="X175" s="5" t="s">
        <v>367</v>
      </c>
      <c r="Y175" s="5" t="s">
        <v>366</v>
      </c>
      <c r="Z175" s="5"/>
      <c r="AA175" s="5" t="s">
        <v>367</v>
      </c>
      <c r="AB175" s="5" t="s">
        <v>366</v>
      </c>
      <c r="AC175" s="5"/>
      <c r="AD175" s="5" t="s">
        <v>367</v>
      </c>
      <c r="AE175" s="5" t="s">
        <v>366</v>
      </c>
      <c r="AF175" s="5"/>
      <c r="AG175" s="5" t="s">
        <v>367</v>
      </c>
      <c r="AH175" s="5" t="s">
        <v>713</v>
      </c>
    </row>
    <row r="176" spans="1:34" ht="13.5" customHeight="1">
      <c r="A176" s="4" t="s">
        <v>1374</v>
      </c>
      <c r="B176" s="4" t="s">
        <v>53</v>
      </c>
      <c r="C176" s="4" t="s">
        <v>1195</v>
      </c>
      <c r="D176" s="4"/>
      <c r="E176" s="4" t="s">
        <v>1366</v>
      </c>
      <c r="F176" s="4" t="s">
        <v>358</v>
      </c>
      <c r="G176" s="4" t="s">
        <v>1375</v>
      </c>
      <c r="H176" s="4" t="s">
        <v>1376</v>
      </c>
      <c r="I176" s="4" t="s">
        <v>1369</v>
      </c>
      <c r="J176" s="4" t="s">
        <v>1370</v>
      </c>
      <c r="K176" s="4" t="s">
        <v>1377</v>
      </c>
      <c r="L176" s="4" t="s">
        <v>1372</v>
      </c>
      <c r="M176" s="4" t="s">
        <v>94</v>
      </c>
      <c r="N176" s="4"/>
      <c r="O176" s="4" t="s">
        <v>1373</v>
      </c>
      <c r="P176" s="4" t="s">
        <v>366</v>
      </c>
      <c r="Q176" s="4"/>
      <c r="R176" s="4" t="s">
        <v>367</v>
      </c>
      <c r="S176" s="4" t="s">
        <v>366</v>
      </c>
      <c r="T176" s="4"/>
      <c r="U176" s="4" t="s">
        <v>367</v>
      </c>
      <c r="V176" s="4" t="s">
        <v>366</v>
      </c>
      <c r="W176" s="4"/>
      <c r="X176" s="4" t="s">
        <v>367</v>
      </c>
      <c r="Y176" s="4" t="s">
        <v>366</v>
      </c>
      <c r="Z176" s="4"/>
      <c r="AA176" s="4" t="s">
        <v>367</v>
      </c>
      <c r="AB176" s="4" t="s">
        <v>366</v>
      </c>
      <c r="AC176" s="4"/>
      <c r="AD176" s="4" t="s">
        <v>367</v>
      </c>
      <c r="AE176" s="4" t="s">
        <v>366</v>
      </c>
      <c r="AF176" s="4"/>
      <c r="AG176" s="4" t="s">
        <v>367</v>
      </c>
      <c r="AH176" s="4" t="s">
        <v>713</v>
      </c>
    </row>
    <row r="177" spans="1:34" ht="13.5" customHeight="1">
      <c r="A177" s="5" t="s">
        <v>1378</v>
      </c>
      <c r="B177" s="5" t="s">
        <v>53</v>
      </c>
      <c r="C177" s="5" t="s">
        <v>1195</v>
      </c>
      <c r="D177" s="5"/>
      <c r="E177" s="5" t="s">
        <v>1366</v>
      </c>
      <c r="F177" s="5" t="s">
        <v>358</v>
      </c>
      <c r="G177" s="5" t="s">
        <v>1379</v>
      </c>
      <c r="H177" s="5" t="s">
        <v>1380</v>
      </c>
      <c r="I177" s="5" t="s">
        <v>1369</v>
      </c>
      <c r="J177" s="5" t="s">
        <v>1370</v>
      </c>
      <c r="K177" s="5" t="s">
        <v>1381</v>
      </c>
      <c r="L177" s="5" t="s">
        <v>1372</v>
      </c>
      <c r="M177" s="5" t="s">
        <v>94</v>
      </c>
      <c r="N177" s="5"/>
      <c r="O177" s="5" t="s">
        <v>1373</v>
      </c>
      <c r="P177" s="5" t="s">
        <v>366</v>
      </c>
      <c r="Q177" s="5"/>
      <c r="R177" s="5" t="s">
        <v>367</v>
      </c>
      <c r="S177" s="5" t="s">
        <v>366</v>
      </c>
      <c r="T177" s="5"/>
      <c r="U177" s="5" t="s">
        <v>367</v>
      </c>
      <c r="V177" s="5" t="s">
        <v>366</v>
      </c>
      <c r="W177" s="5"/>
      <c r="X177" s="5" t="s">
        <v>367</v>
      </c>
      <c r="Y177" s="5" t="s">
        <v>366</v>
      </c>
      <c r="Z177" s="5"/>
      <c r="AA177" s="5" t="s">
        <v>367</v>
      </c>
      <c r="AB177" s="5" t="s">
        <v>366</v>
      </c>
      <c r="AC177" s="5"/>
      <c r="AD177" s="5" t="s">
        <v>367</v>
      </c>
      <c r="AE177" s="5" t="s">
        <v>366</v>
      </c>
      <c r="AF177" s="5"/>
      <c r="AG177" s="5" t="s">
        <v>367</v>
      </c>
      <c r="AH177" s="5" t="s">
        <v>713</v>
      </c>
    </row>
    <row r="178" spans="1:34" ht="13.5" customHeight="1">
      <c r="A178" s="4" t="s">
        <v>1382</v>
      </c>
      <c r="B178" s="4" t="s">
        <v>53</v>
      </c>
      <c r="C178" s="4" t="s">
        <v>1195</v>
      </c>
      <c r="D178" s="4"/>
      <c r="E178" s="4" t="s">
        <v>1383</v>
      </c>
      <c r="F178" s="4" t="s">
        <v>358</v>
      </c>
      <c r="G178" s="4" t="s">
        <v>1384</v>
      </c>
      <c r="H178" s="4" t="s">
        <v>1385</v>
      </c>
      <c r="I178" s="4" t="s">
        <v>1386</v>
      </c>
      <c r="J178" s="4" t="s">
        <v>1387</v>
      </c>
      <c r="K178" s="4" t="s">
        <v>1388</v>
      </c>
      <c r="L178" s="4" t="s">
        <v>1389</v>
      </c>
      <c r="M178" s="4" t="s">
        <v>377</v>
      </c>
      <c r="N178" s="4"/>
      <c r="O178" s="4" t="s">
        <v>1390</v>
      </c>
      <c r="P178" s="4" t="s">
        <v>366</v>
      </c>
      <c r="Q178" s="4"/>
      <c r="R178" s="4" t="s">
        <v>367</v>
      </c>
      <c r="S178" s="4" t="s">
        <v>366</v>
      </c>
      <c r="T178" s="4"/>
      <c r="U178" s="4" t="s">
        <v>367</v>
      </c>
      <c r="V178" s="4" t="s">
        <v>366</v>
      </c>
      <c r="W178" s="4"/>
      <c r="X178" s="4" t="s">
        <v>367</v>
      </c>
      <c r="Y178" s="4" t="s">
        <v>366</v>
      </c>
      <c r="Z178" s="4"/>
      <c r="AA178" s="4" t="s">
        <v>367</v>
      </c>
      <c r="AB178" s="4" t="s">
        <v>366</v>
      </c>
      <c r="AC178" s="4"/>
      <c r="AD178" s="4" t="s">
        <v>367</v>
      </c>
      <c r="AE178" s="4" t="s">
        <v>366</v>
      </c>
      <c r="AF178" s="4"/>
      <c r="AG178" s="4" t="s">
        <v>367</v>
      </c>
      <c r="AH178" s="4" t="s">
        <v>713</v>
      </c>
    </row>
    <row r="179" spans="1:34" ht="13.5" customHeight="1">
      <c r="A179" s="5" t="s">
        <v>1391</v>
      </c>
      <c r="B179" s="5" t="s">
        <v>53</v>
      </c>
      <c r="C179" s="5" t="s">
        <v>1195</v>
      </c>
      <c r="D179" s="5"/>
      <c r="E179" s="5" t="s">
        <v>1392</v>
      </c>
      <c r="F179" s="5" t="s">
        <v>358</v>
      </c>
      <c r="G179" s="5" t="s">
        <v>1393</v>
      </c>
      <c r="H179" s="5" t="s">
        <v>1392</v>
      </c>
      <c r="I179" s="5" t="s">
        <v>1394</v>
      </c>
      <c r="J179" s="5" t="s">
        <v>1395</v>
      </c>
      <c r="K179" s="5" t="s">
        <v>1396</v>
      </c>
      <c r="L179" s="5" t="s">
        <v>1397</v>
      </c>
      <c r="M179" s="5" t="s">
        <v>94</v>
      </c>
      <c r="N179" s="5"/>
      <c r="O179" s="5" t="s">
        <v>1398</v>
      </c>
      <c r="P179" s="5" t="s">
        <v>366</v>
      </c>
      <c r="Q179" s="5"/>
      <c r="R179" s="5" t="s">
        <v>367</v>
      </c>
      <c r="S179" s="5" t="s">
        <v>366</v>
      </c>
      <c r="T179" s="5"/>
      <c r="U179" s="5" t="s">
        <v>367</v>
      </c>
      <c r="V179" s="5" t="s">
        <v>366</v>
      </c>
      <c r="W179" s="5"/>
      <c r="X179" s="5" t="s">
        <v>367</v>
      </c>
      <c r="Y179" s="5" t="s">
        <v>366</v>
      </c>
      <c r="Z179" s="5"/>
      <c r="AA179" s="5" t="s">
        <v>367</v>
      </c>
      <c r="AB179" s="5" t="s">
        <v>366</v>
      </c>
      <c r="AC179" s="5"/>
      <c r="AD179" s="5" t="s">
        <v>367</v>
      </c>
      <c r="AE179" s="5" t="s">
        <v>366</v>
      </c>
      <c r="AF179" s="5"/>
      <c r="AG179" s="5" t="s">
        <v>367</v>
      </c>
      <c r="AH179" s="5" t="s">
        <v>713</v>
      </c>
    </row>
    <row r="180" spans="1:34" ht="13.5" customHeight="1">
      <c r="A180" s="4" t="s">
        <v>1399</v>
      </c>
      <c r="B180" s="4" t="s">
        <v>53</v>
      </c>
      <c r="C180" s="4" t="s">
        <v>1195</v>
      </c>
      <c r="D180" s="4"/>
      <c r="E180" s="4" t="s">
        <v>994</v>
      </c>
      <c r="F180" s="4" t="s">
        <v>358</v>
      </c>
      <c r="G180" s="4" t="s">
        <v>1400</v>
      </c>
      <c r="H180" s="4" t="s">
        <v>1401</v>
      </c>
      <c r="I180" s="4"/>
      <c r="J180" s="4" t="s">
        <v>1402</v>
      </c>
      <c r="K180" s="4" t="s">
        <v>1403</v>
      </c>
      <c r="L180" s="4" t="s">
        <v>1404</v>
      </c>
      <c r="M180" s="4" t="s">
        <v>94</v>
      </c>
      <c r="N180" s="4"/>
      <c r="O180" s="4" t="s">
        <v>1405</v>
      </c>
      <c r="P180" s="4" t="s">
        <v>366</v>
      </c>
      <c r="Q180" s="4"/>
      <c r="R180" s="4" t="s">
        <v>367</v>
      </c>
      <c r="S180" s="4" t="s">
        <v>366</v>
      </c>
      <c r="T180" s="4"/>
      <c r="U180" s="4" t="s">
        <v>367</v>
      </c>
      <c r="V180" s="4" t="s">
        <v>366</v>
      </c>
      <c r="W180" s="4"/>
      <c r="X180" s="4" t="s">
        <v>367</v>
      </c>
      <c r="Y180" s="4" t="s">
        <v>366</v>
      </c>
      <c r="Z180" s="4"/>
      <c r="AA180" s="4" t="s">
        <v>367</v>
      </c>
      <c r="AB180" s="4" t="s">
        <v>366</v>
      </c>
      <c r="AC180" s="4"/>
      <c r="AD180" s="4" t="s">
        <v>367</v>
      </c>
      <c r="AE180" s="4" t="s">
        <v>366</v>
      </c>
      <c r="AF180" s="4"/>
      <c r="AG180" s="4" t="s">
        <v>367</v>
      </c>
      <c r="AH180" s="4" t="s">
        <v>713</v>
      </c>
    </row>
    <row r="181" spans="1:34" ht="13.5" customHeight="1">
      <c r="A181" s="5" t="s">
        <v>1406</v>
      </c>
      <c r="B181" s="5" t="s">
        <v>53</v>
      </c>
      <c r="C181" s="5" t="s">
        <v>1195</v>
      </c>
      <c r="D181" s="5"/>
      <c r="E181" s="5" t="s">
        <v>994</v>
      </c>
      <c r="F181" s="5" t="s">
        <v>358</v>
      </c>
      <c r="G181" s="5" t="s">
        <v>1407</v>
      </c>
      <c r="H181" s="5" t="s">
        <v>1408</v>
      </c>
      <c r="I181" s="5"/>
      <c r="J181" s="5" t="s">
        <v>1409</v>
      </c>
      <c r="K181" s="5" t="s">
        <v>1410</v>
      </c>
      <c r="L181" s="5" t="s">
        <v>1411</v>
      </c>
      <c r="M181" s="5" t="s">
        <v>94</v>
      </c>
      <c r="N181" s="5"/>
      <c r="O181" s="5" t="s">
        <v>1405</v>
      </c>
      <c r="P181" s="5" t="s">
        <v>366</v>
      </c>
      <c r="Q181" s="5"/>
      <c r="R181" s="5" t="s">
        <v>367</v>
      </c>
      <c r="S181" s="5" t="s">
        <v>366</v>
      </c>
      <c r="T181" s="5"/>
      <c r="U181" s="5" t="s">
        <v>367</v>
      </c>
      <c r="V181" s="5" t="s">
        <v>366</v>
      </c>
      <c r="W181" s="5"/>
      <c r="X181" s="5" t="s">
        <v>367</v>
      </c>
      <c r="Y181" s="5" t="s">
        <v>366</v>
      </c>
      <c r="Z181" s="5"/>
      <c r="AA181" s="5" t="s">
        <v>367</v>
      </c>
      <c r="AB181" s="5" t="s">
        <v>366</v>
      </c>
      <c r="AC181" s="5"/>
      <c r="AD181" s="5" t="s">
        <v>367</v>
      </c>
      <c r="AE181" s="5" t="s">
        <v>366</v>
      </c>
      <c r="AF181" s="5"/>
      <c r="AG181" s="5" t="s">
        <v>367</v>
      </c>
      <c r="AH181" s="5" t="s">
        <v>713</v>
      </c>
    </row>
    <row r="182" spans="1:34" ht="13.5" customHeight="1">
      <c r="A182" s="4" t="s">
        <v>1412</v>
      </c>
      <c r="B182" s="4" t="s">
        <v>53</v>
      </c>
      <c r="C182" s="4" t="s">
        <v>1195</v>
      </c>
      <c r="D182" s="4"/>
      <c r="E182" s="4" t="s">
        <v>994</v>
      </c>
      <c r="F182" s="4" t="s">
        <v>358</v>
      </c>
      <c r="G182" s="4" t="s">
        <v>1413</v>
      </c>
      <c r="H182" s="4" t="s">
        <v>1414</v>
      </c>
      <c r="I182" s="4"/>
      <c r="J182" s="4" t="s">
        <v>1415</v>
      </c>
      <c r="K182" s="4" t="s">
        <v>1416</v>
      </c>
      <c r="L182" s="4" t="s">
        <v>1417</v>
      </c>
      <c r="M182" s="4" t="s">
        <v>94</v>
      </c>
      <c r="N182" s="4"/>
      <c r="O182" s="4" t="s">
        <v>1405</v>
      </c>
      <c r="P182" s="4" t="s">
        <v>366</v>
      </c>
      <c r="Q182" s="4"/>
      <c r="R182" s="4" t="s">
        <v>367</v>
      </c>
      <c r="S182" s="4" t="s">
        <v>366</v>
      </c>
      <c r="T182" s="4"/>
      <c r="U182" s="4" t="s">
        <v>367</v>
      </c>
      <c r="V182" s="4" t="s">
        <v>366</v>
      </c>
      <c r="W182" s="4"/>
      <c r="X182" s="4" t="s">
        <v>367</v>
      </c>
      <c r="Y182" s="4" t="s">
        <v>366</v>
      </c>
      <c r="Z182" s="4"/>
      <c r="AA182" s="4" t="s">
        <v>367</v>
      </c>
      <c r="AB182" s="4" t="s">
        <v>366</v>
      </c>
      <c r="AC182" s="4"/>
      <c r="AD182" s="4" t="s">
        <v>367</v>
      </c>
      <c r="AE182" s="4" t="s">
        <v>366</v>
      </c>
      <c r="AF182" s="4"/>
      <c r="AG182" s="4" t="s">
        <v>367</v>
      </c>
      <c r="AH182" s="4" t="s">
        <v>713</v>
      </c>
    </row>
    <row r="183" spans="1:34" ht="13.5" customHeight="1">
      <c r="A183" s="5" t="s">
        <v>1418</v>
      </c>
      <c r="B183" s="5" t="s">
        <v>53</v>
      </c>
      <c r="C183" s="5" t="s">
        <v>1419</v>
      </c>
      <c r="D183" s="5" t="s">
        <v>1420</v>
      </c>
      <c r="E183" s="5" t="s">
        <v>1420</v>
      </c>
      <c r="F183" s="5" t="s">
        <v>358</v>
      </c>
      <c r="G183" s="5" t="s">
        <v>1421</v>
      </c>
      <c r="H183" s="5" t="s">
        <v>1422</v>
      </c>
      <c r="I183" s="5" t="s">
        <v>1423</v>
      </c>
      <c r="J183" s="5" t="s">
        <v>1424</v>
      </c>
      <c r="K183" s="5" t="s">
        <v>1425</v>
      </c>
      <c r="L183" s="5" t="s">
        <v>1426</v>
      </c>
      <c r="M183" s="5" t="s">
        <v>94</v>
      </c>
      <c r="N183" s="5"/>
      <c r="O183" s="5" t="s">
        <v>1427</v>
      </c>
      <c r="P183" s="5" t="s">
        <v>366</v>
      </c>
      <c r="Q183" s="5"/>
      <c r="R183" s="5" t="s">
        <v>367</v>
      </c>
      <c r="S183" s="5" t="s">
        <v>366</v>
      </c>
      <c r="T183" s="5"/>
      <c r="U183" s="5" t="s">
        <v>367</v>
      </c>
      <c r="V183" s="5" t="s">
        <v>366</v>
      </c>
      <c r="W183" s="5"/>
      <c r="X183" s="5" t="s">
        <v>367</v>
      </c>
      <c r="Y183" s="5" t="s">
        <v>366</v>
      </c>
      <c r="Z183" s="5"/>
      <c r="AA183" s="5" t="s">
        <v>367</v>
      </c>
      <c r="AB183" s="5" t="s">
        <v>366</v>
      </c>
      <c r="AC183" s="5"/>
      <c r="AD183" s="5" t="s">
        <v>367</v>
      </c>
      <c r="AE183" s="5" t="s">
        <v>366</v>
      </c>
      <c r="AF183" s="5"/>
      <c r="AG183" s="5" t="s">
        <v>367</v>
      </c>
      <c r="AH183" s="5" t="s">
        <v>713</v>
      </c>
    </row>
    <row r="184" spans="1:34" ht="13.5" customHeight="1">
      <c r="A184" s="4" t="s">
        <v>1428</v>
      </c>
      <c r="B184" s="4" t="s">
        <v>53</v>
      </c>
      <c r="C184" s="4" t="s">
        <v>1419</v>
      </c>
      <c r="D184" s="4" t="s">
        <v>1420</v>
      </c>
      <c r="E184" s="4" t="s">
        <v>1420</v>
      </c>
      <c r="F184" s="4" t="s">
        <v>358</v>
      </c>
      <c r="G184" s="4" t="s">
        <v>1429</v>
      </c>
      <c r="H184" s="4" t="s">
        <v>1430</v>
      </c>
      <c r="I184" s="4" t="s">
        <v>1423</v>
      </c>
      <c r="J184" s="4" t="s">
        <v>1424</v>
      </c>
      <c r="K184" s="4" t="s">
        <v>1431</v>
      </c>
      <c r="L184" s="4" t="s">
        <v>1426</v>
      </c>
      <c r="M184" s="4" t="s">
        <v>94</v>
      </c>
      <c r="N184" s="4"/>
      <c r="O184" s="4" t="s">
        <v>1427</v>
      </c>
      <c r="P184" s="4" t="s">
        <v>366</v>
      </c>
      <c r="Q184" s="4"/>
      <c r="R184" s="4" t="s">
        <v>367</v>
      </c>
      <c r="S184" s="4" t="s">
        <v>366</v>
      </c>
      <c r="T184" s="4"/>
      <c r="U184" s="4" t="s">
        <v>367</v>
      </c>
      <c r="V184" s="4" t="s">
        <v>366</v>
      </c>
      <c r="W184" s="4"/>
      <c r="X184" s="4" t="s">
        <v>367</v>
      </c>
      <c r="Y184" s="4" t="s">
        <v>366</v>
      </c>
      <c r="Z184" s="4"/>
      <c r="AA184" s="4" t="s">
        <v>367</v>
      </c>
      <c r="AB184" s="4" t="s">
        <v>366</v>
      </c>
      <c r="AC184" s="4"/>
      <c r="AD184" s="4" t="s">
        <v>367</v>
      </c>
      <c r="AE184" s="4" t="s">
        <v>366</v>
      </c>
      <c r="AF184" s="4"/>
      <c r="AG184" s="4" t="s">
        <v>367</v>
      </c>
      <c r="AH184" s="4" t="s">
        <v>713</v>
      </c>
    </row>
    <row r="185" spans="1:34" ht="13.5" customHeight="1">
      <c r="A185" s="5" t="s">
        <v>1432</v>
      </c>
      <c r="B185" s="5" t="s">
        <v>53</v>
      </c>
      <c r="C185" s="5" t="s">
        <v>1419</v>
      </c>
      <c r="D185" s="5" t="s">
        <v>1420</v>
      </c>
      <c r="E185" s="5" t="s">
        <v>1420</v>
      </c>
      <c r="F185" s="5" t="s">
        <v>358</v>
      </c>
      <c r="G185" s="5" t="s">
        <v>1433</v>
      </c>
      <c r="H185" s="5" t="s">
        <v>1434</v>
      </c>
      <c r="I185" s="5" t="s">
        <v>1423</v>
      </c>
      <c r="J185" s="5" t="s">
        <v>1424</v>
      </c>
      <c r="K185" s="5" t="s">
        <v>1435</v>
      </c>
      <c r="L185" s="5" t="s">
        <v>1426</v>
      </c>
      <c r="M185" s="5" t="s">
        <v>94</v>
      </c>
      <c r="N185" s="5"/>
      <c r="O185" s="5" t="s">
        <v>1427</v>
      </c>
      <c r="P185" s="5" t="s">
        <v>366</v>
      </c>
      <c r="Q185" s="5"/>
      <c r="R185" s="5" t="s">
        <v>367</v>
      </c>
      <c r="S185" s="5" t="s">
        <v>366</v>
      </c>
      <c r="T185" s="5"/>
      <c r="U185" s="5" t="s">
        <v>367</v>
      </c>
      <c r="V185" s="5" t="s">
        <v>366</v>
      </c>
      <c r="W185" s="5"/>
      <c r="X185" s="5" t="s">
        <v>367</v>
      </c>
      <c r="Y185" s="5" t="s">
        <v>366</v>
      </c>
      <c r="Z185" s="5"/>
      <c r="AA185" s="5" t="s">
        <v>367</v>
      </c>
      <c r="AB185" s="5" t="s">
        <v>366</v>
      </c>
      <c r="AC185" s="5"/>
      <c r="AD185" s="5" t="s">
        <v>367</v>
      </c>
      <c r="AE185" s="5" t="s">
        <v>366</v>
      </c>
      <c r="AF185" s="5"/>
      <c r="AG185" s="5" t="s">
        <v>367</v>
      </c>
      <c r="AH185" s="5" t="s">
        <v>713</v>
      </c>
    </row>
    <row r="186" spans="1:34" ht="13.5" hidden="1" customHeight="1">
      <c r="A186" s="4" t="s">
        <v>1436</v>
      </c>
      <c r="B186" s="4" t="s">
        <v>87</v>
      </c>
      <c r="C186" s="4" t="s">
        <v>1419</v>
      </c>
      <c r="D186" s="4" t="s">
        <v>1420</v>
      </c>
      <c r="E186" s="4" t="s">
        <v>1420</v>
      </c>
      <c r="F186" s="4" t="s">
        <v>358</v>
      </c>
      <c r="G186" s="4" t="s">
        <v>1437</v>
      </c>
      <c r="H186" s="4" t="s">
        <v>1438</v>
      </c>
      <c r="I186" s="4" t="s">
        <v>1439</v>
      </c>
      <c r="J186" s="4" t="s">
        <v>1440</v>
      </c>
      <c r="K186" s="4" t="s">
        <v>1441</v>
      </c>
      <c r="L186" s="4" t="s">
        <v>1442</v>
      </c>
      <c r="M186" s="4" t="s">
        <v>64</v>
      </c>
      <c r="N186" s="4"/>
      <c r="O186" s="4"/>
      <c r="P186" s="4" t="s">
        <v>366</v>
      </c>
      <c r="Q186" s="4"/>
      <c r="R186" s="4" t="s">
        <v>367</v>
      </c>
      <c r="S186" s="4" t="s">
        <v>366</v>
      </c>
      <c r="T186" s="4"/>
      <c r="U186" s="4" t="s">
        <v>367</v>
      </c>
      <c r="V186" s="4" t="s">
        <v>366</v>
      </c>
      <c r="W186" s="4"/>
      <c r="X186" s="4" t="s">
        <v>367</v>
      </c>
      <c r="Y186" s="4" t="s">
        <v>366</v>
      </c>
      <c r="Z186" s="4"/>
      <c r="AA186" s="4" t="s">
        <v>367</v>
      </c>
      <c r="AB186" s="4" t="s">
        <v>366</v>
      </c>
      <c r="AC186" s="4"/>
      <c r="AD186" s="4" t="s">
        <v>367</v>
      </c>
      <c r="AE186" s="4" t="s">
        <v>366</v>
      </c>
      <c r="AF186" s="4"/>
      <c r="AG186" s="4" t="s">
        <v>367</v>
      </c>
      <c r="AH186" s="4" t="s">
        <v>849</v>
      </c>
    </row>
    <row r="187" spans="1:34" ht="13.5" customHeight="1">
      <c r="A187" s="5" t="s">
        <v>1443</v>
      </c>
      <c r="B187" s="5" t="s">
        <v>53</v>
      </c>
      <c r="C187" s="5" t="s">
        <v>1419</v>
      </c>
      <c r="D187" s="5" t="s">
        <v>1420</v>
      </c>
      <c r="E187" s="5" t="s">
        <v>1420</v>
      </c>
      <c r="F187" s="5" t="s">
        <v>358</v>
      </c>
      <c r="G187" s="5" t="s">
        <v>1444</v>
      </c>
      <c r="H187" s="5" t="s">
        <v>1445</v>
      </c>
      <c r="I187" s="5" t="s">
        <v>1423</v>
      </c>
      <c r="J187" s="5" t="s">
        <v>1424</v>
      </c>
      <c r="K187" s="5" t="s">
        <v>1446</v>
      </c>
      <c r="L187" s="5" t="s">
        <v>1426</v>
      </c>
      <c r="M187" s="5" t="s">
        <v>94</v>
      </c>
      <c r="N187" s="5"/>
      <c r="O187" s="5" t="s">
        <v>1427</v>
      </c>
      <c r="P187" s="5" t="s">
        <v>366</v>
      </c>
      <c r="Q187" s="5"/>
      <c r="R187" s="5" t="s">
        <v>367</v>
      </c>
      <c r="S187" s="5" t="s">
        <v>366</v>
      </c>
      <c r="T187" s="5"/>
      <c r="U187" s="5" t="s">
        <v>367</v>
      </c>
      <c r="V187" s="5" t="s">
        <v>366</v>
      </c>
      <c r="W187" s="5"/>
      <c r="X187" s="5" t="s">
        <v>367</v>
      </c>
      <c r="Y187" s="5" t="s">
        <v>366</v>
      </c>
      <c r="Z187" s="5"/>
      <c r="AA187" s="5" t="s">
        <v>367</v>
      </c>
      <c r="AB187" s="5" t="s">
        <v>366</v>
      </c>
      <c r="AC187" s="5"/>
      <c r="AD187" s="5" t="s">
        <v>367</v>
      </c>
      <c r="AE187" s="5" t="s">
        <v>366</v>
      </c>
      <c r="AF187" s="5"/>
      <c r="AG187" s="5" t="s">
        <v>367</v>
      </c>
      <c r="AH187" s="5" t="s">
        <v>713</v>
      </c>
    </row>
    <row r="188" spans="1:34" ht="13.5" customHeight="1">
      <c r="A188" s="4" t="s">
        <v>1447</v>
      </c>
      <c r="B188" s="4" t="s">
        <v>53</v>
      </c>
      <c r="C188" s="4" t="s">
        <v>1419</v>
      </c>
      <c r="D188" s="4" t="s">
        <v>1420</v>
      </c>
      <c r="E188" s="4" t="s">
        <v>1420</v>
      </c>
      <c r="F188" s="4" t="s">
        <v>358</v>
      </c>
      <c r="G188" s="4" t="s">
        <v>1448</v>
      </c>
      <c r="H188" s="4" t="s">
        <v>1449</v>
      </c>
      <c r="I188" s="4" t="s">
        <v>1423</v>
      </c>
      <c r="J188" s="4" t="s">
        <v>1424</v>
      </c>
      <c r="K188" s="4" t="s">
        <v>1450</v>
      </c>
      <c r="L188" s="4" t="s">
        <v>1426</v>
      </c>
      <c r="M188" s="4" t="s">
        <v>94</v>
      </c>
      <c r="N188" s="4"/>
      <c r="O188" s="4" t="s">
        <v>1427</v>
      </c>
      <c r="P188" s="4" t="s">
        <v>366</v>
      </c>
      <c r="Q188" s="4"/>
      <c r="R188" s="4" t="s">
        <v>367</v>
      </c>
      <c r="S188" s="4" t="s">
        <v>366</v>
      </c>
      <c r="T188" s="4"/>
      <c r="U188" s="4" t="s">
        <v>367</v>
      </c>
      <c r="V188" s="4" t="s">
        <v>366</v>
      </c>
      <c r="W188" s="4"/>
      <c r="X188" s="4" t="s">
        <v>367</v>
      </c>
      <c r="Y188" s="4" t="s">
        <v>366</v>
      </c>
      <c r="Z188" s="4"/>
      <c r="AA188" s="4" t="s">
        <v>367</v>
      </c>
      <c r="AB188" s="4" t="s">
        <v>366</v>
      </c>
      <c r="AC188" s="4"/>
      <c r="AD188" s="4" t="s">
        <v>367</v>
      </c>
      <c r="AE188" s="4" t="s">
        <v>366</v>
      </c>
      <c r="AF188" s="4"/>
      <c r="AG188" s="4" t="s">
        <v>367</v>
      </c>
      <c r="AH188" s="4" t="s">
        <v>713</v>
      </c>
    </row>
    <row r="189" spans="1:34" ht="13.5" customHeight="1">
      <c r="A189" s="5" t="s">
        <v>1451</v>
      </c>
      <c r="B189" s="5" t="s">
        <v>53</v>
      </c>
      <c r="C189" s="5" t="s">
        <v>1419</v>
      </c>
      <c r="D189" s="5" t="s">
        <v>1420</v>
      </c>
      <c r="E189" s="5" t="s">
        <v>1420</v>
      </c>
      <c r="F189" s="5" t="s">
        <v>358</v>
      </c>
      <c r="G189" s="5" t="s">
        <v>1452</v>
      </c>
      <c r="H189" s="5" t="s">
        <v>1453</v>
      </c>
      <c r="I189" s="5" t="s">
        <v>1423</v>
      </c>
      <c r="J189" s="5" t="s">
        <v>1424</v>
      </c>
      <c r="K189" s="5" t="s">
        <v>1454</v>
      </c>
      <c r="L189" s="5" t="s">
        <v>1426</v>
      </c>
      <c r="M189" s="5" t="s">
        <v>94</v>
      </c>
      <c r="N189" s="5"/>
      <c r="O189" s="5" t="s">
        <v>1427</v>
      </c>
      <c r="P189" s="5" t="s">
        <v>366</v>
      </c>
      <c r="Q189" s="5"/>
      <c r="R189" s="5" t="s">
        <v>367</v>
      </c>
      <c r="S189" s="5" t="s">
        <v>366</v>
      </c>
      <c r="T189" s="5"/>
      <c r="U189" s="5" t="s">
        <v>367</v>
      </c>
      <c r="V189" s="5" t="s">
        <v>366</v>
      </c>
      <c r="W189" s="5"/>
      <c r="X189" s="5" t="s">
        <v>367</v>
      </c>
      <c r="Y189" s="5" t="s">
        <v>366</v>
      </c>
      <c r="Z189" s="5"/>
      <c r="AA189" s="5" t="s">
        <v>367</v>
      </c>
      <c r="AB189" s="5" t="s">
        <v>366</v>
      </c>
      <c r="AC189" s="5"/>
      <c r="AD189" s="5" t="s">
        <v>367</v>
      </c>
      <c r="AE189" s="5" t="s">
        <v>366</v>
      </c>
      <c r="AF189" s="5"/>
      <c r="AG189" s="5" t="s">
        <v>367</v>
      </c>
      <c r="AH189" s="5" t="s">
        <v>713</v>
      </c>
    </row>
    <row r="190" spans="1:34" ht="13.5" customHeight="1">
      <c r="A190" s="4" t="s">
        <v>1455</v>
      </c>
      <c r="B190" s="4" t="s">
        <v>53</v>
      </c>
      <c r="C190" s="4" t="s">
        <v>1419</v>
      </c>
      <c r="D190" s="4" t="s">
        <v>1420</v>
      </c>
      <c r="E190" s="4" t="s">
        <v>1420</v>
      </c>
      <c r="F190" s="4" t="s">
        <v>358</v>
      </c>
      <c r="G190" s="4" t="s">
        <v>1456</v>
      </c>
      <c r="H190" s="4" t="s">
        <v>1457</v>
      </c>
      <c r="I190" s="4" t="s">
        <v>1423</v>
      </c>
      <c r="J190" s="4" t="s">
        <v>1424</v>
      </c>
      <c r="K190" s="4" t="s">
        <v>1458</v>
      </c>
      <c r="L190" s="4" t="s">
        <v>1426</v>
      </c>
      <c r="M190" s="4" t="s">
        <v>94</v>
      </c>
      <c r="N190" s="4"/>
      <c r="O190" s="4" t="s">
        <v>1427</v>
      </c>
      <c r="P190" s="4" t="s">
        <v>366</v>
      </c>
      <c r="Q190" s="4"/>
      <c r="R190" s="4" t="s">
        <v>367</v>
      </c>
      <c r="S190" s="4" t="s">
        <v>366</v>
      </c>
      <c r="T190" s="4"/>
      <c r="U190" s="4" t="s">
        <v>367</v>
      </c>
      <c r="V190" s="4" t="s">
        <v>366</v>
      </c>
      <c r="W190" s="4"/>
      <c r="X190" s="4" t="s">
        <v>367</v>
      </c>
      <c r="Y190" s="4" t="s">
        <v>366</v>
      </c>
      <c r="Z190" s="4"/>
      <c r="AA190" s="4" t="s">
        <v>367</v>
      </c>
      <c r="AB190" s="4" t="s">
        <v>366</v>
      </c>
      <c r="AC190" s="4"/>
      <c r="AD190" s="4" t="s">
        <v>367</v>
      </c>
      <c r="AE190" s="4" t="s">
        <v>366</v>
      </c>
      <c r="AF190" s="4"/>
      <c r="AG190" s="4" t="s">
        <v>367</v>
      </c>
      <c r="AH190" s="4" t="s">
        <v>713</v>
      </c>
    </row>
    <row r="191" spans="1:34" ht="13.5" customHeight="1">
      <c r="A191" s="5" t="s">
        <v>1459</v>
      </c>
      <c r="B191" s="5" t="s">
        <v>53</v>
      </c>
      <c r="C191" s="5" t="s">
        <v>1419</v>
      </c>
      <c r="D191" s="5" t="s">
        <v>1460</v>
      </c>
      <c r="E191" s="5" t="s">
        <v>1460</v>
      </c>
      <c r="F191" s="5" t="s">
        <v>358</v>
      </c>
      <c r="G191" s="5" t="s">
        <v>1461</v>
      </c>
      <c r="H191" s="5" t="s">
        <v>1462</v>
      </c>
      <c r="I191" s="5" t="s">
        <v>1463</v>
      </c>
      <c r="J191" s="5" t="s">
        <v>1464</v>
      </c>
      <c r="K191" s="5" t="s">
        <v>1465</v>
      </c>
      <c r="L191" s="5" t="s">
        <v>1466</v>
      </c>
      <c r="M191" s="5" t="s">
        <v>94</v>
      </c>
      <c r="N191" s="5"/>
      <c r="O191" s="5" t="s">
        <v>1467</v>
      </c>
      <c r="P191" s="5" t="s">
        <v>366</v>
      </c>
      <c r="Q191" s="5"/>
      <c r="R191" s="5" t="s">
        <v>367</v>
      </c>
      <c r="S191" s="5" t="s">
        <v>366</v>
      </c>
      <c r="T191" s="5"/>
      <c r="U191" s="5" t="s">
        <v>367</v>
      </c>
      <c r="V191" s="5" t="s">
        <v>366</v>
      </c>
      <c r="W191" s="5"/>
      <c r="X191" s="5" t="s">
        <v>367</v>
      </c>
      <c r="Y191" s="5" t="s">
        <v>366</v>
      </c>
      <c r="Z191" s="5"/>
      <c r="AA191" s="5" t="s">
        <v>367</v>
      </c>
      <c r="AB191" s="5" t="s">
        <v>366</v>
      </c>
      <c r="AC191" s="5"/>
      <c r="AD191" s="5" t="s">
        <v>367</v>
      </c>
      <c r="AE191" s="5" t="s">
        <v>366</v>
      </c>
      <c r="AF191" s="5"/>
      <c r="AG191" s="5" t="s">
        <v>367</v>
      </c>
      <c r="AH191" s="5" t="s">
        <v>713</v>
      </c>
    </row>
    <row r="192" spans="1:34" ht="13.5" customHeight="1">
      <c r="A192" s="4" t="s">
        <v>1468</v>
      </c>
      <c r="B192" s="4" t="s">
        <v>53</v>
      </c>
      <c r="C192" s="4" t="s">
        <v>1419</v>
      </c>
      <c r="D192" s="4" t="s">
        <v>1460</v>
      </c>
      <c r="E192" s="4" t="s">
        <v>1460</v>
      </c>
      <c r="F192" s="4" t="s">
        <v>358</v>
      </c>
      <c r="G192" s="4" t="s">
        <v>1469</v>
      </c>
      <c r="H192" s="4" t="s">
        <v>1470</v>
      </c>
      <c r="I192" s="4" t="s">
        <v>1463</v>
      </c>
      <c r="J192" s="4" t="s">
        <v>1464</v>
      </c>
      <c r="K192" s="4" t="s">
        <v>1471</v>
      </c>
      <c r="L192" s="4" t="s">
        <v>1466</v>
      </c>
      <c r="M192" s="4" t="s">
        <v>94</v>
      </c>
      <c r="N192" s="4"/>
      <c r="O192" s="4" t="s">
        <v>1467</v>
      </c>
      <c r="P192" s="4" t="s">
        <v>366</v>
      </c>
      <c r="Q192" s="4"/>
      <c r="R192" s="4" t="s">
        <v>367</v>
      </c>
      <c r="S192" s="4" t="s">
        <v>366</v>
      </c>
      <c r="T192" s="4"/>
      <c r="U192" s="4" t="s">
        <v>367</v>
      </c>
      <c r="V192" s="4" t="s">
        <v>366</v>
      </c>
      <c r="W192" s="4"/>
      <c r="X192" s="4" t="s">
        <v>367</v>
      </c>
      <c r="Y192" s="4" t="s">
        <v>366</v>
      </c>
      <c r="Z192" s="4"/>
      <c r="AA192" s="4" t="s">
        <v>367</v>
      </c>
      <c r="AB192" s="4" t="s">
        <v>366</v>
      </c>
      <c r="AC192" s="4"/>
      <c r="AD192" s="4" t="s">
        <v>367</v>
      </c>
      <c r="AE192" s="4" t="s">
        <v>366</v>
      </c>
      <c r="AF192" s="4"/>
      <c r="AG192" s="4" t="s">
        <v>367</v>
      </c>
      <c r="AH192" s="4" t="s">
        <v>713</v>
      </c>
    </row>
    <row r="193" spans="1:34" ht="13.5" hidden="1" customHeight="1">
      <c r="A193" s="5" t="s">
        <v>1472</v>
      </c>
      <c r="B193" s="5" t="s">
        <v>87</v>
      </c>
      <c r="C193" s="5" t="s">
        <v>1419</v>
      </c>
      <c r="D193" s="5" t="s">
        <v>1460</v>
      </c>
      <c r="E193" s="5" t="s">
        <v>1460</v>
      </c>
      <c r="F193" s="5" t="s">
        <v>358</v>
      </c>
      <c r="G193" s="5" t="s">
        <v>1473</v>
      </c>
      <c r="H193" s="5" t="s">
        <v>1474</v>
      </c>
      <c r="I193" s="5" t="s">
        <v>1475</v>
      </c>
      <c r="J193" s="5" t="s">
        <v>1476</v>
      </c>
      <c r="K193" s="5" t="s">
        <v>1477</v>
      </c>
      <c r="L193" s="5" t="s">
        <v>1478</v>
      </c>
      <c r="M193" s="5" t="s">
        <v>64</v>
      </c>
      <c r="N193" s="5"/>
      <c r="O193" s="5"/>
      <c r="P193" s="5" t="s">
        <v>366</v>
      </c>
      <c r="Q193" s="5"/>
      <c r="R193" s="5" t="s">
        <v>367</v>
      </c>
      <c r="S193" s="5" t="s">
        <v>366</v>
      </c>
      <c r="T193" s="5"/>
      <c r="U193" s="5" t="s">
        <v>367</v>
      </c>
      <c r="V193" s="5" t="s">
        <v>366</v>
      </c>
      <c r="W193" s="5"/>
      <c r="X193" s="5" t="s">
        <v>367</v>
      </c>
      <c r="Y193" s="5" t="s">
        <v>366</v>
      </c>
      <c r="Z193" s="5"/>
      <c r="AA193" s="5" t="s">
        <v>367</v>
      </c>
      <c r="AB193" s="5" t="s">
        <v>366</v>
      </c>
      <c r="AC193" s="5"/>
      <c r="AD193" s="5" t="s">
        <v>367</v>
      </c>
      <c r="AE193" s="5" t="s">
        <v>366</v>
      </c>
      <c r="AF193" s="5"/>
      <c r="AG193" s="5" t="s">
        <v>367</v>
      </c>
      <c r="AH193" s="5" t="s">
        <v>849</v>
      </c>
    </row>
    <row r="194" spans="1:34" ht="13.5" customHeight="1">
      <c r="A194" s="4" t="s">
        <v>1479</v>
      </c>
      <c r="B194" s="4" t="s">
        <v>53</v>
      </c>
      <c r="C194" s="4" t="s">
        <v>1419</v>
      </c>
      <c r="D194" s="4" t="s">
        <v>1460</v>
      </c>
      <c r="E194" s="4" t="s">
        <v>1460</v>
      </c>
      <c r="F194" s="4" t="s">
        <v>358</v>
      </c>
      <c r="G194" s="4" t="s">
        <v>1480</v>
      </c>
      <c r="H194" s="4" t="s">
        <v>1481</v>
      </c>
      <c r="I194" s="4" t="s">
        <v>1463</v>
      </c>
      <c r="J194" s="4" t="s">
        <v>1464</v>
      </c>
      <c r="K194" s="4" t="s">
        <v>1482</v>
      </c>
      <c r="L194" s="4" t="s">
        <v>1466</v>
      </c>
      <c r="M194" s="4" t="s">
        <v>94</v>
      </c>
      <c r="N194" s="4"/>
      <c r="O194" s="4" t="s">
        <v>1467</v>
      </c>
      <c r="P194" s="4" t="s">
        <v>366</v>
      </c>
      <c r="Q194" s="4"/>
      <c r="R194" s="4" t="s">
        <v>367</v>
      </c>
      <c r="S194" s="4" t="s">
        <v>366</v>
      </c>
      <c r="T194" s="4"/>
      <c r="U194" s="4" t="s">
        <v>367</v>
      </c>
      <c r="V194" s="4" t="s">
        <v>366</v>
      </c>
      <c r="W194" s="4"/>
      <c r="X194" s="4" t="s">
        <v>367</v>
      </c>
      <c r="Y194" s="4" t="s">
        <v>366</v>
      </c>
      <c r="Z194" s="4"/>
      <c r="AA194" s="4" t="s">
        <v>367</v>
      </c>
      <c r="AB194" s="4" t="s">
        <v>366</v>
      </c>
      <c r="AC194" s="4"/>
      <c r="AD194" s="4" t="s">
        <v>367</v>
      </c>
      <c r="AE194" s="4" t="s">
        <v>366</v>
      </c>
      <c r="AF194" s="4"/>
      <c r="AG194" s="4" t="s">
        <v>367</v>
      </c>
      <c r="AH194" s="4" t="s">
        <v>713</v>
      </c>
    </row>
    <row r="195" spans="1:34" ht="13.5" customHeight="1">
      <c r="A195" s="5" t="s">
        <v>1483</v>
      </c>
      <c r="B195" s="5" t="s">
        <v>53</v>
      </c>
      <c r="C195" s="5" t="s">
        <v>1419</v>
      </c>
      <c r="D195" s="5" t="s">
        <v>1460</v>
      </c>
      <c r="E195" s="5" t="s">
        <v>1460</v>
      </c>
      <c r="F195" s="5" t="s">
        <v>358</v>
      </c>
      <c r="G195" s="5" t="s">
        <v>1484</v>
      </c>
      <c r="H195" s="5" t="s">
        <v>1485</v>
      </c>
      <c r="I195" s="5" t="s">
        <v>1463</v>
      </c>
      <c r="J195" s="5" t="s">
        <v>1464</v>
      </c>
      <c r="K195" s="5" t="s">
        <v>1486</v>
      </c>
      <c r="L195" s="5" t="s">
        <v>1466</v>
      </c>
      <c r="M195" s="5" t="s">
        <v>94</v>
      </c>
      <c r="N195" s="5"/>
      <c r="O195" s="5" t="s">
        <v>1467</v>
      </c>
      <c r="P195" s="5" t="s">
        <v>366</v>
      </c>
      <c r="Q195" s="5"/>
      <c r="R195" s="5" t="s">
        <v>367</v>
      </c>
      <c r="S195" s="5" t="s">
        <v>366</v>
      </c>
      <c r="T195" s="5"/>
      <c r="U195" s="5" t="s">
        <v>367</v>
      </c>
      <c r="V195" s="5" t="s">
        <v>366</v>
      </c>
      <c r="W195" s="5"/>
      <c r="X195" s="5" t="s">
        <v>367</v>
      </c>
      <c r="Y195" s="5" t="s">
        <v>366</v>
      </c>
      <c r="Z195" s="5"/>
      <c r="AA195" s="5" t="s">
        <v>367</v>
      </c>
      <c r="AB195" s="5" t="s">
        <v>366</v>
      </c>
      <c r="AC195" s="5"/>
      <c r="AD195" s="5" t="s">
        <v>367</v>
      </c>
      <c r="AE195" s="5" t="s">
        <v>366</v>
      </c>
      <c r="AF195" s="5"/>
      <c r="AG195" s="5" t="s">
        <v>367</v>
      </c>
      <c r="AH195" s="5" t="s">
        <v>713</v>
      </c>
    </row>
    <row r="196" spans="1:34" ht="13.5" customHeight="1">
      <c r="A196" s="4" t="s">
        <v>1487</v>
      </c>
      <c r="B196" s="4" t="s">
        <v>53</v>
      </c>
      <c r="C196" s="4" t="s">
        <v>1419</v>
      </c>
      <c r="D196" s="4" t="s">
        <v>1460</v>
      </c>
      <c r="E196" s="4" t="s">
        <v>1460</v>
      </c>
      <c r="F196" s="4" t="s">
        <v>358</v>
      </c>
      <c r="G196" s="4" t="s">
        <v>1488</v>
      </c>
      <c r="H196" s="4" t="s">
        <v>1489</v>
      </c>
      <c r="I196" s="4" t="s">
        <v>1463</v>
      </c>
      <c r="J196" s="4" t="s">
        <v>1464</v>
      </c>
      <c r="K196" s="4" t="s">
        <v>1490</v>
      </c>
      <c r="L196" s="4" t="s">
        <v>1466</v>
      </c>
      <c r="M196" s="4" t="s">
        <v>94</v>
      </c>
      <c r="N196" s="4"/>
      <c r="O196" s="4" t="s">
        <v>1467</v>
      </c>
      <c r="P196" s="4" t="s">
        <v>366</v>
      </c>
      <c r="Q196" s="4"/>
      <c r="R196" s="4" t="s">
        <v>367</v>
      </c>
      <c r="S196" s="4" t="s">
        <v>366</v>
      </c>
      <c r="T196" s="4"/>
      <c r="U196" s="4" t="s">
        <v>367</v>
      </c>
      <c r="V196" s="4" t="s">
        <v>366</v>
      </c>
      <c r="W196" s="4"/>
      <c r="X196" s="4" t="s">
        <v>367</v>
      </c>
      <c r="Y196" s="4" t="s">
        <v>366</v>
      </c>
      <c r="Z196" s="4"/>
      <c r="AA196" s="4" t="s">
        <v>367</v>
      </c>
      <c r="AB196" s="4" t="s">
        <v>366</v>
      </c>
      <c r="AC196" s="4"/>
      <c r="AD196" s="4" t="s">
        <v>367</v>
      </c>
      <c r="AE196" s="4" t="s">
        <v>366</v>
      </c>
      <c r="AF196" s="4"/>
      <c r="AG196" s="4" t="s">
        <v>367</v>
      </c>
      <c r="AH196" s="4" t="s">
        <v>713</v>
      </c>
    </row>
    <row r="197" spans="1:34" ht="13.5" customHeight="1">
      <c r="A197" s="5" t="s">
        <v>1491</v>
      </c>
      <c r="B197" s="5" t="s">
        <v>53</v>
      </c>
      <c r="C197" s="5" t="s">
        <v>1419</v>
      </c>
      <c r="D197" s="5" t="s">
        <v>1460</v>
      </c>
      <c r="E197" s="5" t="s">
        <v>1460</v>
      </c>
      <c r="F197" s="5" t="s">
        <v>358</v>
      </c>
      <c r="G197" s="5" t="s">
        <v>1492</v>
      </c>
      <c r="H197" s="5" t="s">
        <v>1493</v>
      </c>
      <c r="I197" s="5" t="s">
        <v>1463</v>
      </c>
      <c r="J197" s="5" t="s">
        <v>1464</v>
      </c>
      <c r="K197" s="5" t="s">
        <v>1494</v>
      </c>
      <c r="L197" s="5" t="s">
        <v>1466</v>
      </c>
      <c r="M197" s="5" t="s">
        <v>94</v>
      </c>
      <c r="N197" s="5"/>
      <c r="O197" s="5" t="s">
        <v>1467</v>
      </c>
      <c r="P197" s="5" t="s">
        <v>366</v>
      </c>
      <c r="Q197" s="5"/>
      <c r="R197" s="5" t="s">
        <v>367</v>
      </c>
      <c r="S197" s="5" t="s">
        <v>366</v>
      </c>
      <c r="T197" s="5"/>
      <c r="U197" s="5" t="s">
        <v>367</v>
      </c>
      <c r="V197" s="5" t="s">
        <v>366</v>
      </c>
      <c r="W197" s="5"/>
      <c r="X197" s="5" t="s">
        <v>367</v>
      </c>
      <c r="Y197" s="5" t="s">
        <v>366</v>
      </c>
      <c r="Z197" s="5"/>
      <c r="AA197" s="5" t="s">
        <v>367</v>
      </c>
      <c r="AB197" s="5" t="s">
        <v>366</v>
      </c>
      <c r="AC197" s="5"/>
      <c r="AD197" s="5" t="s">
        <v>367</v>
      </c>
      <c r="AE197" s="5" t="s">
        <v>366</v>
      </c>
      <c r="AF197" s="5"/>
      <c r="AG197" s="5" t="s">
        <v>367</v>
      </c>
      <c r="AH197" s="5" t="s">
        <v>713</v>
      </c>
    </row>
    <row r="198" spans="1:34" ht="13.5" customHeight="1">
      <c r="A198" s="4" t="s">
        <v>1495</v>
      </c>
      <c r="B198" s="4" t="s">
        <v>53</v>
      </c>
      <c r="C198" s="4" t="s">
        <v>1419</v>
      </c>
      <c r="D198" s="4" t="s">
        <v>1460</v>
      </c>
      <c r="E198" s="4" t="s">
        <v>1460</v>
      </c>
      <c r="F198" s="4" t="s">
        <v>358</v>
      </c>
      <c r="G198" s="4" t="s">
        <v>1496</v>
      </c>
      <c r="H198" s="4" t="s">
        <v>1497</v>
      </c>
      <c r="I198" s="4" t="s">
        <v>1463</v>
      </c>
      <c r="J198" s="4" t="s">
        <v>1464</v>
      </c>
      <c r="K198" s="4" t="s">
        <v>1498</v>
      </c>
      <c r="L198" s="4" t="s">
        <v>1466</v>
      </c>
      <c r="M198" s="4" t="s">
        <v>94</v>
      </c>
      <c r="N198" s="4"/>
      <c r="O198" s="4" t="s">
        <v>1467</v>
      </c>
      <c r="P198" s="4" t="s">
        <v>366</v>
      </c>
      <c r="Q198" s="4"/>
      <c r="R198" s="4" t="s">
        <v>367</v>
      </c>
      <c r="S198" s="4" t="s">
        <v>366</v>
      </c>
      <c r="T198" s="4"/>
      <c r="U198" s="4" t="s">
        <v>367</v>
      </c>
      <c r="V198" s="4" t="s">
        <v>366</v>
      </c>
      <c r="W198" s="4"/>
      <c r="X198" s="4" t="s">
        <v>367</v>
      </c>
      <c r="Y198" s="4" t="s">
        <v>366</v>
      </c>
      <c r="Z198" s="4"/>
      <c r="AA198" s="4" t="s">
        <v>367</v>
      </c>
      <c r="AB198" s="4" t="s">
        <v>366</v>
      </c>
      <c r="AC198" s="4"/>
      <c r="AD198" s="4" t="s">
        <v>367</v>
      </c>
      <c r="AE198" s="4" t="s">
        <v>366</v>
      </c>
      <c r="AF198" s="4"/>
      <c r="AG198" s="4" t="s">
        <v>367</v>
      </c>
      <c r="AH198" s="4" t="s">
        <v>713</v>
      </c>
    </row>
    <row r="199" spans="1:34" ht="13.5" customHeight="1">
      <c r="A199" s="5" t="s">
        <v>1499</v>
      </c>
      <c r="B199" s="5" t="s">
        <v>53</v>
      </c>
      <c r="C199" s="5" t="s">
        <v>1419</v>
      </c>
      <c r="D199" s="5" t="s">
        <v>1460</v>
      </c>
      <c r="E199" s="5" t="s">
        <v>1460</v>
      </c>
      <c r="F199" s="5" t="s">
        <v>358</v>
      </c>
      <c r="G199" s="5" t="s">
        <v>1500</v>
      </c>
      <c r="H199" s="5" t="s">
        <v>1501</v>
      </c>
      <c r="I199" s="5" t="s">
        <v>1463</v>
      </c>
      <c r="J199" s="5" t="s">
        <v>1464</v>
      </c>
      <c r="K199" s="5" t="s">
        <v>1502</v>
      </c>
      <c r="L199" s="5" t="s">
        <v>1466</v>
      </c>
      <c r="M199" s="5" t="s">
        <v>94</v>
      </c>
      <c r="N199" s="5"/>
      <c r="O199" s="5" t="s">
        <v>1467</v>
      </c>
      <c r="P199" s="5" t="s">
        <v>366</v>
      </c>
      <c r="Q199" s="5"/>
      <c r="R199" s="5" t="s">
        <v>367</v>
      </c>
      <c r="S199" s="5" t="s">
        <v>366</v>
      </c>
      <c r="T199" s="5"/>
      <c r="U199" s="5" t="s">
        <v>367</v>
      </c>
      <c r="V199" s="5" t="s">
        <v>366</v>
      </c>
      <c r="W199" s="5"/>
      <c r="X199" s="5" t="s">
        <v>367</v>
      </c>
      <c r="Y199" s="5" t="s">
        <v>366</v>
      </c>
      <c r="Z199" s="5"/>
      <c r="AA199" s="5" t="s">
        <v>367</v>
      </c>
      <c r="AB199" s="5" t="s">
        <v>366</v>
      </c>
      <c r="AC199" s="5"/>
      <c r="AD199" s="5" t="s">
        <v>367</v>
      </c>
      <c r="AE199" s="5" t="s">
        <v>366</v>
      </c>
      <c r="AF199" s="5"/>
      <c r="AG199" s="5" t="s">
        <v>367</v>
      </c>
      <c r="AH199" s="5" t="s">
        <v>713</v>
      </c>
    </row>
    <row r="200" spans="1:34" ht="13.5" customHeight="1">
      <c r="A200" s="4" t="s">
        <v>1503</v>
      </c>
      <c r="B200" s="4" t="s">
        <v>53</v>
      </c>
      <c r="C200" s="4" t="s">
        <v>1419</v>
      </c>
      <c r="D200" s="4" t="s">
        <v>1504</v>
      </c>
      <c r="E200" s="4" t="s">
        <v>1504</v>
      </c>
      <c r="F200" s="4" t="s">
        <v>358</v>
      </c>
      <c r="G200" s="4" t="s">
        <v>1505</v>
      </c>
      <c r="H200" s="4" t="s">
        <v>1506</v>
      </c>
      <c r="I200" s="4" t="s">
        <v>1507</v>
      </c>
      <c r="J200" s="4" t="s">
        <v>1508</v>
      </c>
      <c r="K200" s="4" t="s">
        <v>1509</v>
      </c>
      <c r="L200" s="4" t="s">
        <v>1510</v>
      </c>
      <c r="M200" s="4" t="s">
        <v>94</v>
      </c>
      <c r="N200" s="4"/>
      <c r="O200" s="4" t="s">
        <v>1511</v>
      </c>
      <c r="P200" s="4" t="s">
        <v>366</v>
      </c>
      <c r="Q200" s="4"/>
      <c r="R200" s="4" t="s">
        <v>367</v>
      </c>
      <c r="S200" s="4" t="s">
        <v>366</v>
      </c>
      <c r="T200" s="4"/>
      <c r="U200" s="4" t="s">
        <v>367</v>
      </c>
      <c r="V200" s="4" t="s">
        <v>366</v>
      </c>
      <c r="W200" s="4"/>
      <c r="X200" s="4" t="s">
        <v>367</v>
      </c>
      <c r="Y200" s="4" t="s">
        <v>366</v>
      </c>
      <c r="Z200" s="4"/>
      <c r="AA200" s="4" t="s">
        <v>367</v>
      </c>
      <c r="AB200" s="4" t="s">
        <v>366</v>
      </c>
      <c r="AC200" s="4"/>
      <c r="AD200" s="4" t="s">
        <v>367</v>
      </c>
      <c r="AE200" s="4" t="s">
        <v>366</v>
      </c>
      <c r="AF200" s="4"/>
      <c r="AG200" s="4" t="s">
        <v>367</v>
      </c>
      <c r="AH200" s="4" t="s">
        <v>713</v>
      </c>
    </row>
    <row r="201" spans="1:34" ht="13.5" hidden="1" customHeight="1">
      <c r="A201" s="5" t="s">
        <v>1512</v>
      </c>
      <c r="B201" s="5" t="s">
        <v>87</v>
      </c>
      <c r="C201" s="5" t="s">
        <v>1419</v>
      </c>
      <c r="D201" s="5" t="s">
        <v>1504</v>
      </c>
      <c r="E201" s="5" t="s">
        <v>1504</v>
      </c>
      <c r="F201" s="5" t="s">
        <v>358</v>
      </c>
      <c r="G201" s="5" t="s">
        <v>1513</v>
      </c>
      <c r="H201" s="5" t="s">
        <v>1514</v>
      </c>
      <c r="I201" s="5" t="s">
        <v>1515</v>
      </c>
      <c r="J201" s="5" t="s">
        <v>1516</v>
      </c>
      <c r="K201" s="5" t="s">
        <v>1517</v>
      </c>
      <c r="L201" s="5" t="s">
        <v>1518</v>
      </c>
      <c r="M201" s="5" t="s">
        <v>94</v>
      </c>
      <c r="N201" s="5"/>
      <c r="O201" s="5"/>
      <c r="P201" s="5" t="s">
        <v>366</v>
      </c>
      <c r="Q201" s="5"/>
      <c r="R201" s="5" t="s">
        <v>367</v>
      </c>
      <c r="S201" s="5" t="s">
        <v>366</v>
      </c>
      <c r="T201" s="5"/>
      <c r="U201" s="5" t="s">
        <v>367</v>
      </c>
      <c r="V201" s="5" t="s">
        <v>366</v>
      </c>
      <c r="W201" s="5"/>
      <c r="X201" s="5" t="s">
        <v>367</v>
      </c>
      <c r="Y201" s="5" t="s">
        <v>366</v>
      </c>
      <c r="Z201" s="5"/>
      <c r="AA201" s="5" t="s">
        <v>367</v>
      </c>
      <c r="AB201" s="5" t="s">
        <v>366</v>
      </c>
      <c r="AC201" s="5"/>
      <c r="AD201" s="5" t="s">
        <v>367</v>
      </c>
      <c r="AE201" s="5" t="s">
        <v>366</v>
      </c>
      <c r="AF201" s="5"/>
      <c r="AG201" s="5" t="s">
        <v>367</v>
      </c>
      <c r="AH201" s="5" t="s">
        <v>849</v>
      </c>
    </row>
    <row r="202" spans="1:34" ht="13.5" customHeight="1">
      <c r="A202" s="4" t="s">
        <v>1519</v>
      </c>
      <c r="B202" s="4" t="s">
        <v>53</v>
      </c>
      <c r="C202" s="4" t="s">
        <v>1419</v>
      </c>
      <c r="D202" s="4" t="s">
        <v>1504</v>
      </c>
      <c r="E202" s="4" t="s">
        <v>1504</v>
      </c>
      <c r="F202" s="4" t="s">
        <v>358</v>
      </c>
      <c r="G202" s="4" t="s">
        <v>1520</v>
      </c>
      <c r="H202" s="4" t="s">
        <v>1521</v>
      </c>
      <c r="I202" s="4" t="s">
        <v>1507</v>
      </c>
      <c r="J202" s="4" t="s">
        <v>1508</v>
      </c>
      <c r="K202" s="4" t="s">
        <v>1522</v>
      </c>
      <c r="L202" s="4" t="s">
        <v>1510</v>
      </c>
      <c r="M202" s="4" t="s">
        <v>94</v>
      </c>
      <c r="N202" s="4"/>
      <c r="O202" s="4" t="s">
        <v>1511</v>
      </c>
      <c r="P202" s="4" t="s">
        <v>366</v>
      </c>
      <c r="Q202" s="4"/>
      <c r="R202" s="4" t="s">
        <v>367</v>
      </c>
      <c r="S202" s="4" t="s">
        <v>366</v>
      </c>
      <c r="T202" s="4"/>
      <c r="U202" s="4" t="s">
        <v>367</v>
      </c>
      <c r="V202" s="4" t="s">
        <v>366</v>
      </c>
      <c r="W202" s="4"/>
      <c r="X202" s="4" t="s">
        <v>367</v>
      </c>
      <c r="Y202" s="4" t="s">
        <v>366</v>
      </c>
      <c r="Z202" s="4"/>
      <c r="AA202" s="4" t="s">
        <v>367</v>
      </c>
      <c r="AB202" s="4" t="s">
        <v>366</v>
      </c>
      <c r="AC202" s="4"/>
      <c r="AD202" s="4" t="s">
        <v>367</v>
      </c>
      <c r="AE202" s="4" t="s">
        <v>366</v>
      </c>
      <c r="AF202" s="4"/>
      <c r="AG202" s="4" t="s">
        <v>367</v>
      </c>
      <c r="AH202" s="4" t="s">
        <v>713</v>
      </c>
    </row>
    <row r="203" spans="1:34" ht="13.5" customHeight="1">
      <c r="A203" s="5" t="s">
        <v>1523</v>
      </c>
      <c r="B203" s="5" t="s">
        <v>53</v>
      </c>
      <c r="C203" s="5" t="s">
        <v>1419</v>
      </c>
      <c r="D203" s="5" t="s">
        <v>1504</v>
      </c>
      <c r="E203" s="5" t="s">
        <v>1504</v>
      </c>
      <c r="F203" s="5" t="s">
        <v>358</v>
      </c>
      <c r="G203" s="5" t="s">
        <v>1524</v>
      </c>
      <c r="H203" s="5" t="s">
        <v>1525</v>
      </c>
      <c r="I203" s="5" t="s">
        <v>1507</v>
      </c>
      <c r="J203" s="5" t="s">
        <v>1508</v>
      </c>
      <c r="K203" s="5" t="s">
        <v>1526</v>
      </c>
      <c r="L203" s="5" t="s">
        <v>1510</v>
      </c>
      <c r="M203" s="5" t="s">
        <v>94</v>
      </c>
      <c r="N203" s="5"/>
      <c r="O203" s="5" t="s">
        <v>1511</v>
      </c>
      <c r="P203" s="5" t="s">
        <v>366</v>
      </c>
      <c r="Q203" s="5"/>
      <c r="R203" s="5" t="s">
        <v>367</v>
      </c>
      <c r="S203" s="5" t="s">
        <v>366</v>
      </c>
      <c r="T203" s="5"/>
      <c r="U203" s="5" t="s">
        <v>367</v>
      </c>
      <c r="V203" s="5" t="s">
        <v>366</v>
      </c>
      <c r="W203" s="5"/>
      <c r="X203" s="5" t="s">
        <v>367</v>
      </c>
      <c r="Y203" s="5" t="s">
        <v>366</v>
      </c>
      <c r="Z203" s="5"/>
      <c r="AA203" s="5" t="s">
        <v>367</v>
      </c>
      <c r="AB203" s="5" t="s">
        <v>366</v>
      </c>
      <c r="AC203" s="5"/>
      <c r="AD203" s="5" t="s">
        <v>367</v>
      </c>
      <c r="AE203" s="5" t="s">
        <v>366</v>
      </c>
      <c r="AF203" s="5"/>
      <c r="AG203" s="5" t="s">
        <v>367</v>
      </c>
      <c r="AH203" s="5" t="s">
        <v>713</v>
      </c>
    </row>
    <row r="204" spans="1:34" ht="13.5" customHeight="1">
      <c r="A204" s="4" t="s">
        <v>1527</v>
      </c>
      <c r="B204" s="4" t="s">
        <v>53</v>
      </c>
      <c r="C204" s="4" t="s">
        <v>1419</v>
      </c>
      <c r="D204" s="4" t="s">
        <v>1504</v>
      </c>
      <c r="E204" s="4" t="s">
        <v>1504</v>
      </c>
      <c r="F204" s="4" t="s">
        <v>358</v>
      </c>
      <c r="G204" s="4" t="s">
        <v>1528</v>
      </c>
      <c r="H204" s="4" t="s">
        <v>1529</v>
      </c>
      <c r="I204" s="4" t="s">
        <v>1507</v>
      </c>
      <c r="J204" s="4" t="s">
        <v>1508</v>
      </c>
      <c r="K204" s="4" t="s">
        <v>1530</v>
      </c>
      <c r="L204" s="4" t="s">
        <v>1510</v>
      </c>
      <c r="M204" s="4" t="s">
        <v>94</v>
      </c>
      <c r="N204" s="4"/>
      <c r="O204" s="4" t="s">
        <v>1511</v>
      </c>
      <c r="P204" s="4" t="s">
        <v>366</v>
      </c>
      <c r="Q204" s="4"/>
      <c r="R204" s="4" t="s">
        <v>367</v>
      </c>
      <c r="S204" s="4" t="s">
        <v>366</v>
      </c>
      <c r="T204" s="4"/>
      <c r="U204" s="4" t="s">
        <v>367</v>
      </c>
      <c r="V204" s="4" t="s">
        <v>366</v>
      </c>
      <c r="W204" s="4"/>
      <c r="X204" s="4" t="s">
        <v>367</v>
      </c>
      <c r="Y204" s="4" t="s">
        <v>366</v>
      </c>
      <c r="Z204" s="4"/>
      <c r="AA204" s="4" t="s">
        <v>367</v>
      </c>
      <c r="AB204" s="4" t="s">
        <v>366</v>
      </c>
      <c r="AC204" s="4"/>
      <c r="AD204" s="4" t="s">
        <v>367</v>
      </c>
      <c r="AE204" s="4" t="s">
        <v>366</v>
      </c>
      <c r="AF204" s="4"/>
      <c r="AG204" s="4" t="s">
        <v>367</v>
      </c>
      <c r="AH204" s="4" t="s">
        <v>713</v>
      </c>
    </row>
    <row r="205" spans="1:34" ht="13.5" customHeight="1">
      <c r="A205" s="5" t="s">
        <v>1531</v>
      </c>
      <c r="B205" s="5" t="s">
        <v>53</v>
      </c>
      <c r="C205" s="5" t="s">
        <v>1419</v>
      </c>
      <c r="D205" s="5" t="s">
        <v>1504</v>
      </c>
      <c r="E205" s="5" t="s">
        <v>1504</v>
      </c>
      <c r="F205" s="5" t="s">
        <v>358</v>
      </c>
      <c r="G205" s="5" t="s">
        <v>1532</v>
      </c>
      <c r="H205" s="5" t="s">
        <v>1533</v>
      </c>
      <c r="I205" s="5" t="s">
        <v>1507</v>
      </c>
      <c r="J205" s="5" t="s">
        <v>1508</v>
      </c>
      <c r="K205" s="5" t="s">
        <v>1534</v>
      </c>
      <c r="L205" s="5" t="s">
        <v>1510</v>
      </c>
      <c r="M205" s="5" t="s">
        <v>94</v>
      </c>
      <c r="N205" s="5"/>
      <c r="O205" s="5" t="s">
        <v>1511</v>
      </c>
      <c r="P205" s="5" t="s">
        <v>366</v>
      </c>
      <c r="Q205" s="5"/>
      <c r="R205" s="5" t="s">
        <v>367</v>
      </c>
      <c r="S205" s="5" t="s">
        <v>366</v>
      </c>
      <c r="T205" s="5"/>
      <c r="U205" s="5" t="s">
        <v>367</v>
      </c>
      <c r="V205" s="5" t="s">
        <v>366</v>
      </c>
      <c r="W205" s="5"/>
      <c r="X205" s="5" t="s">
        <v>367</v>
      </c>
      <c r="Y205" s="5" t="s">
        <v>366</v>
      </c>
      <c r="Z205" s="5"/>
      <c r="AA205" s="5" t="s">
        <v>367</v>
      </c>
      <c r="AB205" s="5" t="s">
        <v>366</v>
      </c>
      <c r="AC205" s="5"/>
      <c r="AD205" s="5" t="s">
        <v>367</v>
      </c>
      <c r="AE205" s="5" t="s">
        <v>366</v>
      </c>
      <c r="AF205" s="5"/>
      <c r="AG205" s="5" t="s">
        <v>367</v>
      </c>
      <c r="AH205" s="5" t="s">
        <v>713</v>
      </c>
    </row>
    <row r="206" spans="1:34" ht="13.5" customHeight="1">
      <c r="A206" s="4" t="s">
        <v>1535</v>
      </c>
      <c r="B206" s="4" t="s">
        <v>53</v>
      </c>
      <c r="C206" s="4" t="s">
        <v>1419</v>
      </c>
      <c r="D206" s="4" t="s">
        <v>1504</v>
      </c>
      <c r="E206" s="4" t="s">
        <v>1504</v>
      </c>
      <c r="F206" s="4" t="s">
        <v>358</v>
      </c>
      <c r="G206" s="4" t="s">
        <v>1536</v>
      </c>
      <c r="H206" s="4" t="s">
        <v>1537</v>
      </c>
      <c r="I206" s="4" t="s">
        <v>1507</v>
      </c>
      <c r="J206" s="4" t="s">
        <v>1508</v>
      </c>
      <c r="K206" s="4" t="s">
        <v>1538</v>
      </c>
      <c r="L206" s="4" t="s">
        <v>1510</v>
      </c>
      <c r="M206" s="4" t="s">
        <v>94</v>
      </c>
      <c r="N206" s="4"/>
      <c r="O206" s="4" t="s">
        <v>1511</v>
      </c>
      <c r="P206" s="4" t="s">
        <v>366</v>
      </c>
      <c r="Q206" s="4"/>
      <c r="R206" s="4" t="s">
        <v>367</v>
      </c>
      <c r="S206" s="4" t="s">
        <v>366</v>
      </c>
      <c r="T206" s="4"/>
      <c r="U206" s="4" t="s">
        <v>367</v>
      </c>
      <c r="V206" s="4" t="s">
        <v>366</v>
      </c>
      <c r="W206" s="4"/>
      <c r="X206" s="4" t="s">
        <v>367</v>
      </c>
      <c r="Y206" s="4" t="s">
        <v>366</v>
      </c>
      <c r="Z206" s="4"/>
      <c r="AA206" s="4" t="s">
        <v>367</v>
      </c>
      <c r="AB206" s="4" t="s">
        <v>366</v>
      </c>
      <c r="AC206" s="4"/>
      <c r="AD206" s="4" t="s">
        <v>367</v>
      </c>
      <c r="AE206" s="4" t="s">
        <v>366</v>
      </c>
      <c r="AF206" s="4"/>
      <c r="AG206" s="4" t="s">
        <v>367</v>
      </c>
      <c r="AH206" s="4" t="s">
        <v>713</v>
      </c>
    </row>
    <row r="207" spans="1:34" ht="13.5" customHeight="1">
      <c r="A207" s="5" t="s">
        <v>1539</v>
      </c>
      <c r="B207" s="5" t="s">
        <v>53</v>
      </c>
      <c r="C207" s="5" t="s">
        <v>1419</v>
      </c>
      <c r="D207" s="5" t="s">
        <v>1540</v>
      </c>
      <c r="E207" s="5" t="s">
        <v>1540</v>
      </c>
      <c r="F207" s="5" t="s">
        <v>358</v>
      </c>
      <c r="G207" s="5" t="s">
        <v>1541</v>
      </c>
      <c r="H207" s="5" t="s">
        <v>1542</v>
      </c>
      <c r="I207" s="5" t="s">
        <v>1543</v>
      </c>
      <c r="J207" s="5" t="s">
        <v>1544</v>
      </c>
      <c r="K207" s="5" t="s">
        <v>1545</v>
      </c>
      <c r="L207" s="5" t="s">
        <v>1546</v>
      </c>
      <c r="M207" s="5" t="s">
        <v>94</v>
      </c>
      <c r="N207" s="5"/>
      <c r="O207" s="5" t="s">
        <v>1547</v>
      </c>
      <c r="P207" s="5" t="s">
        <v>366</v>
      </c>
      <c r="Q207" s="5"/>
      <c r="R207" s="5" t="s">
        <v>367</v>
      </c>
      <c r="S207" s="5" t="s">
        <v>366</v>
      </c>
      <c r="T207" s="5"/>
      <c r="U207" s="5" t="s">
        <v>367</v>
      </c>
      <c r="V207" s="5" t="s">
        <v>366</v>
      </c>
      <c r="W207" s="5"/>
      <c r="X207" s="5" t="s">
        <v>367</v>
      </c>
      <c r="Y207" s="5" t="s">
        <v>366</v>
      </c>
      <c r="Z207" s="5"/>
      <c r="AA207" s="5" t="s">
        <v>367</v>
      </c>
      <c r="AB207" s="5" t="s">
        <v>366</v>
      </c>
      <c r="AC207" s="5"/>
      <c r="AD207" s="5" t="s">
        <v>367</v>
      </c>
      <c r="AE207" s="5" t="s">
        <v>366</v>
      </c>
      <c r="AF207" s="5"/>
      <c r="AG207" s="5" t="s">
        <v>367</v>
      </c>
      <c r="AH207" s="5" t="s">
        <v>713</v>
      </c>
    </row>
    <row r="208" spans="1:34" ht="13.5" hidden="1" customHeight="1">
      <c r="A208" s="4" t="s">
        <v>1548</v>
      </c>
      <c r="B208" s="4" t="s">
        <v>87</v>
      </c>
      <c r="C208" s="4" t="s">
        <v>1419</v>
      </c>
      <c r="D208" s="4" t="s">
        <v>1540</v>
      </c>
      <c r="E208" s="4" t="s">
        <v>1540</v>
      </c>
      <c r="F208" s="4" t="s">
        <v>358</v>
      </c>
      <c r="G208" s="4" t="s">
        <v>1549</v>
      </c>
      <c r="H208" s="4" t="s">
        <v>1550</v>
      </c>
      <c r="I208" s="4" t="s">
        <v>1551</v>
      </c>
      <c r="J208" s="4" t="s">
        <v>1552</v>
      </c>
      <c r="K208" s="4" t="s">
        <v>1553</v>
      </c>
      <c r="L208" s="4" t="s">
        <v>1554</v>
      </c>
      <c r="M208" s="4" t="s">
        <v>377</v>
      </c>
      <c r="N208" s="4"/>
      <c r="O208" s="4"/>
      <c r="P208" s="4" t="s">
        <v>366</v>
      </c>
      <c r="Q208" s="4"/>
      <c r="R208" s="4" t="s">
        <v>367</v>
      </c>
      <c r="S208" s="4" t="s">
        <v>366</v>
      </c>
      <c r="T208" s="4"/>
      <c r="U208" s="4" t="s">
        <v>367</v>
      </c>
      <c r="V208" s="4" t="s">
        <v>366</v>
      </c>
      <c r="W208" s="4"/>
      <c r="X208" s="4" t="s">
        <v>367</v>
      </c>
      <c r="Y208" s="4" t="s">
        <v>366</v>
      </c>
      <c r="Z208" s="4"/>
      <c r="AA208" s="4" t="s">
        <v>367</v>
      </c>
      <c r="AB208" s="4" t="s">
        <v>366</v>
      </c>
      <c r="AC208" s="4"/>
      <c r="AD208" s="4" t="s">
        <v>367</v>
      </c>
      <c r="AE208" s="4" t="s">
        <v>366</v>
      </c>
      <c r="AF208" s="4"/>
      <c r="AG208" s="4" t="s">
        <v>367</v>
      </c>
      <c r="AH208" s="4" t="s">
        <v>849</v>
      </c>
    </row>
    <row r="209" spans="1:34" ht="13.5" customHeight="1">
      <c r="A209" s="5" t="s">
        <v>1555</v>
      </c>
      <c r="B209" s="5" t="s">
        <v>53</v>
      </c>
      <c r="C209" s="5" t="s">
        <v>1419</v>
      </c>
      <c r="D209" s="5" t="s">
        <v>1540</v>
      </c>
      <c r="E209" s="5" t="s">
        <v>1540</v>
      </c>
      <c r="F209" s="5" t="s">
        <v>358</v>
      </c>
      <c r="G209" s="5" t="s">
        <v>1556</v>
      </c>
      <c r="H209" s="5" t="s">
        <v>1557</v>
      </c>
      <c r="I209" s="5" t="s">
        <v>1543</v>
      </c>
      <c r="J209" s="5" t="s">
        <v>1544</v>
      </c>
      <c r="K209" s="5" t="s">
        <v>1558</v>
      </c>
      <c r="L209" s="5" t="s">
        <v>1546</v>
      </c>
      <c r="M209" s="5" t="s">
        <v>94</v>
      </c>
      <c r="N209" s="5"/>
      <c r="O209" s="5" t="s">
        <v>1547</v>
      </c>
      <c r="P209" s="5" t="s">
        <v>366</v>
      </c>
      <c r="Q209" s="5"/>
      <c r="R209" s="5" t="s">
        <v>367</v>
      </c>
      <c r="S209" s="5" t="s">
        <v>366</v>
      </c>
      <c r="T209" s="5"/>
      <c r="U209" s="5" t="s">
        <v>367</v>
      </c>
      <c r="V209" s="5" t="s">
        <v>366</v>
      </c>
      <c r="W209" s="5"/>
      <c r="X209" s="5" t="s">
        <v>367</v>
      </c>
      <c r="Y209" s="5" t="s">
        <v>366</v>
      </c>
      <c r="Z209" s="5"/>
      <c r="AA209" s="5" t="s">
        <v>367</v>
      </c>
      <c r="AB209" s="5" t="s">
        <v>366</v>
      </c>
      <c r="AC209" s="5"/>
      <c r="AD209" s="5" t="s">
        <v>367</v>
      </c>
      <c r="AE209" s="5" t="s">
        <v>366</v>
      </c>
      <c r="AF209" s="5"/>
      <c r="AG209" s="5" t="s">
        <v>367</v>
      </c>
      <c r="AH209" s="5" t="s">
        <v>713</v>
      </c>
    </row>
    <row r="210" spans="1:34" ht="13.5" customHeight="1">
      <c r="A210" s="4" t="s">
        <v>1559</v>
      </c>
      <c r="B210" s="4" t="s">
        <v>53</v>
      </c>
      <c r="C210" s="4" t="s">
        <v>1419</v>
      </c>
      <c r="D210" s="4" t="s">
        <v>1540</v>
      </c>
      <c r="E210" s="4" t="s">
        <v>1540</v>
      </c>
      <c r="F210" s="4" t="s">
        <v>358</v>
      </c>
      <c r="G210" s="4" t="s">
        <v>1560</v>
      </c>
      <c r="H210" s="4" t="s">
        <v>1561</v>
      </c>
      <c r="I210" s="4" t="s">
        <v>1543</v>
      </c>
      <c r="J210" s="4" t="s">
        <v>1544</v>
      </c>
      <c r="K210" s="4" t="s">
        <v>1562</v>
      </c>
      <c r="L210" s="4" t="s">
        <v>1546</v>
      </c>
      <c r="M210" s="4" t="s">
        <v>94</v>
      </c>
      <c r="N210" s="4"/>
      <c r="O210" s="4" t="s">
        <v>1547</v>
      </c>
      <c r="P210" s="4" t="s">
        <v>366</v>
      </c>
      <c r="Q210" s="4"/>
      <c r="R210" s="4" t="s">
        <v>367</v>
      </c>
      <c r="S210" s="4" t="s">
        <v>366</v>
      </c>
      <c r="T210" s="4"/>
      <c r="U210" s="4" t="s">
        <v>367</v>
      </c>
      <c r="V210" s="4" t="s">
        <v>366</v>
      </c>
      <c r="W210" s="4"/>
      <c r="X210" s="4" t="s">
        <v>367</v>
      </c>
      <c r="Y210" s="4" t="s">
        <v>366</v>
      </c>
      <c r="Z210" s="4"/>
      <c r="AA210" s="4" t="s">
        <v>367</v>
      </c>
      <c r="AB210" s="4" t="s">
        <v>366</v>
      </c>
      <c r="AC210" s="4"/>
      <c r="AD210" s="4" t="s">
        <v>367</v>
      </c>
      <c r="AE210" s="4" t="s">
        <v>366</v>
      </c>
      <c r="AF210" s="4"/>
      <c r="AG210" s="4" t="s">
        <v>367</v>
      </c>
      <c r="AH210" s="4" t="s">
        <v>713</v>
      </c>
    </row>
    <row r="211" spans="1:34" ht="13.5" customHeight="1">
      <c r="A211" s="5" t="s">
        <v>1563</v>
      </c>
      <c r="B211" s="5" t="s">
        <v>53</v>
      </c>
      <c r="C211" s="5" t="s">
        <v>1419</v>
      </c>
      <c r="D211" s="5" t="s">
        <v>1540</v>
      </c>
      <c r="E211" s="5" t="s">
        <v>1540</v>
      </c>
      <c r="F211" s="5" t="s">
        <v>358</v>
      </c>
      <c r="G211" s="5" t="s">
        <v>1564</v>
      </c>
      <c r="H211" s="5" t="s">
        <v>1565</v>
      </c>
      <c r="I211" s="5" t="s">
        <v>1543</v>
      </c>
      <c r="J211" s="5" t="s">
        <v>1544</v>
      </c>
      <c r="K211" s="5" t="s">
        <v>1566</v>
      </c>
      <c r="L211" s="5" t="s">
        <v>1546</v>
      </c>
      <c r="M211" s="5" t="s">
        <v>94</v>
      </c>
      <c r="N211" s="5"/>
      <c r="O211" s="5" t="s">
        <v>1547</v>
      </c>
      <c r="P211" s="5" t="s">
        <v>366</v>
      </c>
      <c r="Q211" s="5"/>
      <c r="R211" s="5" t="s">
        <v>367</v>
      </c>
      <c r="S211" s="5" t="s">
        <v>366</v>
      </c>
      <c r="T211" s="5"/>
      <c r="U211" s="5" t="s">
        <v>367</v>
      </c>
      <c r="V211" s="5" t="s">
        <v>366</v>
      </c>
      <c r="W211" s="5"/>
      <c r="X211" s="5" t="s">
        <v>367</v>
      </c>
      <c r="Y211" s="5" t="s">
        <v>366</v>
      </c>
      <c r="Z211" s="5"/>
      <c r="AA211" s="5" t="s">
        <v>367</v>
      </c>
      <c r="AB211" s="5" t="s">
        <v>366</v>
      </c>
      <c r="AC211" s="5"/>
      <c r="AD211" s="5" t="s">
        <v>367</v>
      </c>
      <c r="AE211" s="5" t="s">
        <v>366</v>
      </c>
      <c r="AF211" s="5"/>
      <c r="AG211" s="5" t="s">
        <v>367</v>
      </c>
      <c r="AH211" s="5" t="s">
        <v>713</v>
      </c>
    </row>
    <row r="212" spans="1:34" ht="13.5" customHeight="1">
      <c r="A212" s="4" t="s">
        <v>1567</v>
      </c>
      <c r="B212" s="4" t="s">
        <v>53</v>
      </c>
      <c r="C212" s="4" t="s">
        <v>1419</v>
      </c>
      <c r="D212" s="4" t="s">
        <v>1568</v>
      </c>
      <c r="E212" s="4" t="s">
        <v>1568</v>
      </c>
      <c r="F212" s="4" t="s">
        <v>358</v>
      </c>
      <c r="G212" s="4" t="s">
        <v>1569</v>
      </c>
      <c r="H212" s="4" t="s">
        <v>1570</v>
      </c>
      <c r="I212" s="4" t="s">
        <v>1571</v>
      </c>
      <c r="J212" s="4" t="s">
        <v>1572</v>
      </c>
      <c r="K212" s="4" t="s">
        <v>1573</v>
      </c>
      <c r="L212" s="4" t="s">
        <v>1574</v>
      </c>
      <c r="M212" s="4" t="s">
        <v>64</v>
      </c>
      <c r="N212" s="4"/>
      <c r="O212" s="4" t="s">
        <v>1575</v>
      </c>
      <c r="P212" s="4" t="s">
        <v>366</v>
      </c>
      <c r="Q212" s="4"/>
      <c r="R212" s="4" t="s">
        <v>367</v>
      </c>
      <c r="S212" s="4" t="s">
        <v>366</v>
      </c>
      <c r="T212" s="4"/>
      <c r="U212" s="4" t="s">
        <v>367</v>
      </c>
      <c r="V212" s="4" t="s">
        <v>366</v>
      </c>
      <c r="W212" s="4"/>
      <c r="X212" s="4" t="s">
        <v>367</v>
      </c>
      <c r="Y212" s="4" t="s">
        <v>366</v>
      </c>
      <c r="Z212" s="4"/>
      <c r="AA212" s="4" t="s">
        <v>367</v>
      </c>
      <c r="AB212" s="4" t="s">
        <v>366</v>
      </c>
      <c r="AC212" s="4"/>
      <c r="AD212" s="4" t="s">
        <v>367</v>
      </c>
      <c r="AE212" s="4" t="s">
        <v>366</v>
      </c>
      <c r="AF212" s="4"/>
      <c r="AG212" s="4" t="s">
        <v>367</v>
      </c>
      <c r="AH212" s="4" t="s">
        <v>713</v>
      </c>
    </row>
    <row r="213" spans="1:34" ht="13.5" customHeight="1">
      <c r="A213" s="5" t="s">
        <v>1576</v>
      </c>
      <c r="B213" s="5" t="s">
        <v>53</v>
      </c>
      <c r="C213" s="5" t="s">
        <v>1419</v>
      </c>
      <c r="D213" s="5" t="s">
        <v>1568</v>
      </c>
      <c r="E213" s="5" t="s">
        <v>1568</v>
      </c>
      <c r="F213" s="5" t="s">
        <v>358</v>
      </c>
      <c r="G213" s="5" t="s">
        <v>1577</v>
      </c>
      <c r="H213" s="5" t="s">
        <v>1578</v>
      </c>
      <c r="I213" s="5" t="s">
        <v>1571</v>
      </c>
      <c r="J213" s="5" t="s">
        <v>1572</v>
      </c>
      <c r="K213" s="5" t="s">
        <v>1579</v>
      </c>
      <c r="L213" s="5" t="s">
        <v>1574</v>
      </c>
      <c r="M213" s="5" t="s">
        <v>64</v>
      </c>
      <c r="N213" s="5"/>
      <c r="O213" s="5" t="s">
        <v>1575</v>
      </c>
      <c r="P213" s="5" t="s">
        <v>366</v>
      </c>
      <c r="Q213" s="5"/>
      <c r="R213" s="5" t="s">
        <v>367</v>
      </c>
      <c r="S213" s="5" t="s">
        <v>366</v>
      </c>
      <c r="T213" s="5"/>
      <c r="U213" s="5" t="s">
        <v>367</v>
      </c>
      <c r="V213" s="5" t="s">
        <v>366</v>
      </c>
      <c r="W213" s="5"/>
      <c r="X213" s="5" t="s">
        <v>367</v>
      </c>
      <c r="Y213" s="5" t="s">
        <v>366</v>
      </c>
      <c r="Z213" s="5"/>
      <c r="AA213" s="5" t="s">
        <v>367</v>
      </c>
      <c r="AB213" s="5" t="s">
        <v>366</v>
      </c>
      <c r="AC213" s="5"/>
      <c r="AD213" s="5" t="s">
        <v>367</v>
      </c>
      <c r="AE213" s="5" t="s">
        <v>366</v>
      </c>
      <c r="AF213" s="5"/>
      <c r="AG213" s="5" t="s">
        <v>367</v>
      </c>
      <c r="AH213" s="5" t="s">
        <v>713</v>
      </c>
    </row>
    <row r="214" spans="1:34" ht="13.5" customHeight="1">
      <c r="A214" s="4" t="s">
        <v>1580</v>
      </c>
      <c r="B214" s="4" t="s">
        <v>53</v>
      </c>
      <c r="C214" s="4" t="s">
        <v>1419</v>
      </c>
      <c r="D214" s="4" t="s">
        <v>1568</v>
      </c>
      <c r="E214" s="4" t="s">
        <v>1568</v>
      </c>
      <c r="F214" s="4" t="s">
        <v>358</v>
      </c>
      <c r="G214" s="4" t="s">
        <v>1581</v>
      </c>
      <c r="H214" s="4" t="s">
        <v>1582</v>
      </c>
      <c r="I214" s="4" t="s">
        <v>1571</v>
      </c>
      <c r="J214" s="4" t="s">
        <v>1572</v>
      </c>
      <c r="K214" s="4" t="s">
        <v>1583</v>
      </c>
      <c r="L214" s="4" t="s">
        <v>1574</v>
      </c>
      <c r="M214" s="4" t="s">
        <v>64</v>
      </c>
      <c r="N214" s="4"/>
      <c r="O214" s="4" t="s">
        <v>1575</v>
      </c>
      <c r="P214" s="4" t="s">
        <v>366</v>
      </c>
      <c r="Q214" s="4"/>
      <c r="R214" s="4" t="s">
        <v>367</v>
      </c>
      <c r="S214" s="4" t="s">
        <v>366</v>
      </c>
      <c r="T214" s="4"/>
      <c r="U214" s="4" t="s">
        <v>367</v>
      </c>
      <c r="V214" s="4" t="s">
        <v>366</v>
      </c>
      <c r="W214" s="4"/>
      <c r="X214" s="4" t="s">
        <v>367</v>
      </c>
      <c r="Y214" s="4" t="s">
        <v>366</v>
      </c>
      <c r="Z214" s="4"/>
      <c r="AA214" s="4" t="s">
        <v>367</v>
      </c>
      <c r="AB214" s="4" t="s">
        <v>366</v>
      </c>
      <c r="AC214" s="4"/>
      <c r="AD214" s="4" t="s">
        <v>367</v>
      </c>
      <c r="AE214" s="4" t="s">
        <v>366</v>
      </c>
      <c r="AF214" s="4"/>
      <c r="AG214" s="4" t="s">
        <v>367</v>
      </c>
      <c r="AH214" s="4" t="s">
        <v>713</v>
      </c>
    </row>
    <row r="215" spans="1:34" ht="13.5" hidden="1" customHeight="1">
      <c r="A215" s="5" t="s">
        <v>1584</v>
      </c>
      <c r="B215" s="5" t="s">
        <v>87</v>
      </c>
      <c r="C215" s="5" t="s">
        <v>1419</v>
      </c>
      <c r="D215" s="5" t="s">
        <v>1568</v>
      </c>
      <c r="E215" s="5" t="s">
        <v>1568</v>
      </c>
      <c r="F215" s="5" t="s">
        <v>358</v>
      </c>
      <c r="G215" s="5" t="s">
        <v>1585</v>
      </c>
      <c r="H215" s="5" t="s">
        <v>1586</v>
      </c>
      <c r="I215" s="5" t="s">
        <v>1587</v>
      </c>
      <c r="J215" s="5" t="s">
        <v>1588</v>
      </c>
      <c r="K215" s="5" t="s">
        <v>1589</v>
      </c>
      <c r="L215" s="5" t="s">
        <v>1590</v>
      </c>
      <c r="M215" s="5" t="s">
        <v>94</v>
      </c>
      <c r="N215" s="5"/>
      <c r="O215" s="5"/>
      <c r="P215" s="5" t="s">
        <v>366</v>
      </c>
      <c r="Q215" s="5"/>
      <c r="R215" s="5" t="s">
        <v>367</v>
      </c>
      <c r="S215" s="5" t="s">
        <v>366</v>
      </c>
      <c r="T215" s="5"/>
      <c r="U215" s="5" t="s">
        <v>367</v>
      </c>
      <c r="V215" s="5" t="s">
        <v>366</v>
      </c>
      <c r="W215" s="5"/>
      <c r="X215" s="5" t="s">
        <v>367</v>
      </c>
      <c r="Y215" s="5" t="s">
        <v>366</v>
      </c>
      <c r="Z215" s="5"/>
      <c r="AA215" s="5" t="s">
        <v>367</v>
      </c>
      <c r="AB215" s="5" t="s">
        <v>366</v>
      </c>
      <c r="AC215" s="5"/>
      <c r="AD215" s="5" t="s">
        <v>367</v>
      </c>
      <c r="AE215" s="5" t="s">
        <v>366</v>
      </c>
      <c r="AF215" s="5"/>
      <c r="AG215" s="5" t="s">
        <v>367</v>
      </c>
      <c r="AH215" s="5" t="s">
        <v>849</v>
      </c>
    </row>
    <row r="216" spans="1:34" ht="13.5" customHeight="1">
      <c r="A216" s="4" t="s">
        <v>1591</v>
      </c>
      <c r="B216" s="4" t="s">
        <v>53</v>
      </c>
      <c r="C216" s="4" t="s">
        <v>1419</v>
      </c>
      <c r="D216" s="4" t="s">
        <v>1592</v>
      </c>
      <c r="E216" s="4" t="s">
        <v>1592</v>
      </c>
      <c r="F216" s="4" t="s">
        <v>358</v>
      </c>
      <c r="G216" s="4" t="s">
        <v>1593</v>
      </c>
      <c r="H216" s="4" t="s">
        <v>1594</v>
      </c>
      <c r="I216" s="4" t="s">
        <v>1595</v>
      </c>
      <c r="J216" s="4" t="s">
        <v>1596</v>
      </c>
      <c r="K216" s="4" t="s">
        <v>1597</v>
      </c>
      <c r="L216" s="4" t="s">
        <v>1598</v>
      </c>
      <c r="M216" s="4" t="s">
        <v>64</v>
      </c>
      <c r="N216" s="4"/>
      <c r="O216" s="4" t="s">
        <v>1599</v>
      </c>
      <c r="P216" s="4" t="s">
        <v>366</v>
      </c>
      <c r="Q216" s="4"/>
      <c r="R216" s="4" t="s">
        <v>367</v>
      </c>
      <c r="S216" s="4" t="s">
        <v>366</v>
      </c>
      <c r="T216" s="4"/>
      <c r="U216" s="4" t="s">
        <v>367</v>
      </c>
      <c r="V216" s="4" t="s">
        <v>366</v>
      </c>
      <c r="W216" s="4"/>
      <c r="X216" s="4" t="s">
        <v>367</v>
      </c>
      <c r="Y216" s="4" t="s">
        <v>366</v>
      </c>
      <c r="Z216" s="4"/>
      <c r="AA216" s="4" t="s">
        <v>367</v>
      </c>
      <c r="AB216" s="4" t="s">
        <v>366</v>
      </c>
      <c r="AC216" s="4"/>
      <c r="AD216" s="4" t="s">
        <v>367</v>
      </c>
      <c r="AE216" s="4" t="s">
        <v>366</v>
      </c>
      <c r="AF216" s="4"/>
      <c r="AG216" s="4" t="s">
        <v>367</v>
      </c>
      <c r="AH216" s="4" t="s">
        <v>713</v>
      </c>
    </row>
    <row r="217" spans="1:34" ht="13.5" customHeight="1">
      <c r="A217" s="5" t="s">
        <v>1600</v>
      </c>
      <c r="B217" s="5" t="s">
        <v>53</v>
      </c>
      <c r="C217" s="5" t="s">
        <v>1419</v>
      </c>
      <c r="D217" s="5" t="s">
        <v>1592</v>
      </c>
      <c r="E217" s="5" t="s">
        <v>1592</v>
      </c>
      <c r="F217" s="5" t="s">
        <v>358</v>
      </c>
      <c r="G217" s="5" t="s">
        <v>1601</v>
      </c>
      <c r="H217" s="5" t="s">
        <v>1602</v>
      </c>
      <c r="I217" s="5" t="s">
        <v>1595</v>
      </c>
      <c r="J217" s="5" t="s">
        <v>1596</v>
      </c>
      <c r="K217" s="5" t="s">
        <v>1603</v>
      </c>
      <c r="L217" s="5" t="s">
        <v>1598</v>
      </c>
      <c r="M217" s="5" t="s">
        <v>64</v>
      </c>
      <c r="N217" s="5"/>
      <c r="O217" s="5" t="s">
        <v>1599</v>
      </c>
      <c r="P217" s="5" t="s">
        <v>366</v>
      </c>
      <c r="Q217" s="5"/>
      <c r="R217" s="5" t="s">
        <v>367</v>
      </c>
      <c r="S217" s="5" t="s">
        <v>366</v>
      </c>
      <c r="T217" s="5"/>
      <c r="U217" s="5" t="s">
        <v>367</v>
      </c>
      <c r="V217" s="5" t="s">
        <v>366</v>
      </c>
      <c r="W217" s="5"/>
      <c r="X217" s="5" t="s">
        <v>367</v>
      </c>
      <c r="Y217" s="5" t="s">
        <v>366</v>
      </c>
      <c r="Z217" s="5"/>
      <c r="AA217" s="5" t="s">
        <v>367</v>
      </c>
      <c r="AB217" s="5" t="s">
        <v>366</v>
      </c>
      <c r="AC217" s="5"/>
      <c r="AD217" s="5" t="s">
        <v>367</v>
      </c>
      <c r="AE217" s="5" t="s">
        <v>366</v>
      </c>
      <c r="AF217" s="5"/>
      <c r="AG217" s="5" t="s">
        <v>367</v>
      </c>
      <c r="AH217" s="5" t="s">
        <v>713</v>
      </c>
    </row>
    <row r="218" spans="1:34" ht="13.5" customHeight="1">
      <c r="A218" s="4" t="s">
        <v>1604</v>
      </c>
      <c r="B218" s="4" t="s">
        <v>53</v>
      </c>
      <c r="C218" s="4" t="s">
        <v>1419</v>
      </c>
      <c r="D218" s="4" t="s">
        <v>1592</v>
      </c>
      <c r="E218" s="4" t="s">
        <v>1592</v>
      </c>
      <c r="F218" s="4" t="s">
        <v>358</v>
      </c>
      <c r="G218" s="4" t="s">
        <v>1605</v>
      </c>
      <c r="H218" s="4" t="s">
        <v>1606</v>
      </c>
      <c r="I218" s="4" t="s">
        <v>1595</v>
      </c>
      <c r="J218" s="4" t="s">
        <v>1596</v>
      </c>
      <c r="K218" s="4" t="s">
        <v>1607</v>
      </c>
      <c r="L218" s="4" t="s">
        <v>1598</v>
      </c>
      <c r="M218" s="4" t="s">
        <v>64</v>
      </c>
      <c r="N218" s="4"/>
      <c r="O218" s="4" t="s">
        <v>1599</v>
      </c>
      <c r="P218" s="4" t="s">
        <v>366</v>
      </c>
      <c r="Q218" s="4"/>
      <c r="R218" s="4" t="s">
        <v>367</v>
      </c>
      <c r="S218" s="4" t="s">
        <v>366</v>
      </c>
      <c r="T218" s="4"/>
      <c r="U218" s="4" t="s">
        <v>367</v>
      </c>
      <c r="V218" s="4" t="s">
        <v>366</v>
      </c>
      <c r="W218" s="4"/>
      <c r="X218" s="4" t="s">
        <v>367</v>
      </c>
      <c r="Y218" s="4" t="s">
        <v>366</v>
      </c>
      <c r="Z218" s="4"/>
      <c r="AA218" s="4" t="s">
        <v>367</v>
      </c>
      <c r="AB218" s="4" t="s">
        <v>366</v>
      </c>
      <c r="AC218" s="4"/>
      <c r="AD218" s="4" t="s">
        <v>367</v>
      </c>
      <c r="AE218" s="4" t="s">
        <v>366</v>
      </c>
      <c r="AF218" s="4"/>
      <c r="AG218" s="4" t="s">
        <v>367</v>
      </c>
      <c r="AH218" s="4" t="s">
        <v>713</v>
      </c>
    </row>
    <row r="219" spans="1:34" ht="13.5" customHeight="1">
      <c r="A219" s="5" t="s">
        <v>1608</v>
      </c>
      <c r="B219" s="5" t="s">
        <v>53</v>
      </c>
      <c r="C219" s="5" t="s">
        <v>1419</v>
      </c>
      <c r="D219" s="5" t="s">
        <v>1609</v>
      </c>
      <c r="E219" s="5" t="s">
        <v>1609</v>
      </c>
      <c r="F219" s="5" t="s">
        <v>358</v>
      </c>
      <c r="G219" s="5" t="s">
        <v>1610</v>
      </c>
      <c r="H219" s="5" t="s">
        <v>1611</v>
      </c>
      <c r="I219" s="5" t="s">
        <v>1612</v>
      </c>
      <c r="J219" s="5" t="s">
        <v>1613</v>
      </c>
      <c r="K219" s="5" t="s">
        <v>1614</v>
      </c>
      <c r="L219" s="5" t="s">
        <v>1615</v>
      </c>
      <c r="M219" s="5" t="s">
        <v>377</v>
      </c>
      <c r="N219" s="5"/>
      <c r="O219" s="5" t="s">
        <v>1616</v>
      </c>
      <c r="P219" s="5" t="s">
        <v>366</v>
      </c>
      <c r="Q219" s="5"/>
      <c r="R219" s="5" t="s">
        <v>367</v>
      </c>
      <c r="S219" s="5" t="s">
        <v>366</v>
      </c>
      <c r="T219" s="5"/>
      <c r="U219" s="5" t="s">
        <v>367</v>
      </c>
      <c r="V219" s="5" t="s">
        <v>366</v>
      </c>
      <c r="W219" s="5"/>
      <c r="X219" s="5" t="s">
        <v>367</v>
      </c>
      <c r="Y219" s="5" t="s">
        <v>366</v>
      </c>
      <c r="Z219" s="5"/>
      <c r="AA219" s="5" t="s">
        <v>367</v>
      </c>
      <c r="AB219" s="5" t="s">
        <v>366</v>
      </c>
      <c r="AC219" s="5"/>
      <c r="AD219" s="5" t="s">
        <v>367</v>
      </c>
      <c r="AE219" s="5" t="s">
        <v>366</v>
      </c>
      <c r="AF219" s="5"/>
      <c r="AG219" s="5" t="s">
        <v>367</v>
      </c>
      <c r="AH219" s="5" t="s">
        <v>713</v>
      </c>
    </row>
    <row r="220" spans="1:34" ht="13.5" customHeight="1">
      <c r="A220" s="4" t="s">
        <v>1617</v>
      </c>
      <c r="B220" s="4" t="s">
        <v>53</v>
      </c>
      <c r="C220" s="4" t="s">
        <v>1419</v>
      </c>
      <c r="D220" s="4" t="s">
        <v>1609</v>
      </c>
      <c r="E220" s="4" t="s">
        <v>1609</v>
      </c>
      <c r="F220" s="4" t="s">
        <v>358</v>
      </c>
      <c r="G220" s="4" t="s">
        <v>1618</v>
      </c>
      <c r="H220" s="4" t="s">
        <v>1619</v>
      </c>
      <c r="I220" s="4" t="s">
        <v>1612</v>
      </c>
      <c r="J220" s="4" t="s">
        <v>1613</v>
      </c>
      <c r="K220" s="4" t="s">
        <v>1620</v>
      </c>
      <c r="L220" s="4" t="s">
        <v>1615</v>
      </c>
      <c r="M220" s="4" t="s">
        <v>377</v>
      </c>
      <c r="N220" s="4"/>
      <c r="O220" s="4" t="s">
        <v>1616</v>
      </c>
      <c r="P220" s="4" t="s">
        <v>366</v>
      </c>
      <c r="Q220" s="4"/>
      <c r="R220" s="4" t="s">
        <v>367</v>
      </c>
      <c r="S220" s="4" t="s">
        <v>366</v>
      </c>
      <c r="T220" s="4"/>
      <c r="U220" s="4" t="s">
        <v>367</v>
      </c>
      <c r="V220" s="4" t="s">
        <v>366</v>
      </c>
      <c r="W220" s="4"/>
      <c r="X220" s="4" t="s">
        <v>367</v>
      </c>
      <c r="Y220" s="4" t="s">
        <v>366</v>
      </c>
      <c r="Z220" s="4"/>
      <c r="AA220" s="4" t="s">
        <v>367</v>
      </c>
      <c r="AB220" s="4" t="s">
        <v>366</v>
      </c>
      <c r="AC220" s="4"/>
      <c r="AD220" s="4" t="s">
        <v>367</v>
      </c>
      <c r="AE220" s="4" t="s">
        <v>366</v>
      </c>
      <c r="AF220" s="4"/>
      <c r="AG220" s="4" t="s">
        <v>367</v>
      </c>
      <c r="AH220" s="4" t="s">
        <v>713</v>
      </c>
    </row>
    <row r="221" spans="1:34" ht="13.5" customHeight="1">
      <c r="A221" s="5" t="s">
        <v>1621</v>
      </c>
      <c r="B221" s="5" t="s">
        <v>53</v>
      </c>
      <c r="C221" s="5" t="s">
        <v>1419</v>
      </c>
      <c r="D221" s="5" t="s">
        <v>698</v>
      </c>
      <c r="E221" s="5" t="s">
        <v>698</v>
      </c>
      <c r="F221" s="5" t="s">
        <v>358</v>
      </c>
      <c r="G221" s="5" t="s">
        <v>1622</v>
      </c>
      <c r="H221" s="5" t="s">
        <v>1623</v>
      </c>
      <c r="I221" s="5" t="s">
        <v>1624</v>
      </c>
      <c r="J221" s="5" t="s">
        <v>1625</v>
      </c>
      <c r="K221" s="5" t="s">
        <v>1626</v>
      </c>
      <c r="L221" s="5" t="s">
        <v>1627</v>
      </c>
      <c r="M221" s="5" t="s">
        <v>94</v>
      </c>
      <c r="N221" s="5"/>
      <c r="O221" s="5" t="s">
        <v>1628</v>
      </c>
      <c r="P221" s="5" t="s">
        <v>366</v>
      </c>
      <c r="Q221" s="5"/>
      <c r="R221" s="5" t="s">
        <v>367</v>
      </c>
      <c r="S221" s="5" t="s">
        <v>366</v>
      </c>
      <c r="T221" s="5"/>
      <c r="U221" s="5" t="s">
        <v>367</v>
      </c>
      <c r="V221" s="5" t="s">
        <v>366</v>
      </c>
      <c r="W221" s="5"/>
      <c r="X221" s="5" t="s">
        <v>367</v>
      </c>
      <c r="Y221" s="5" t="s">
        <v>366</v>
      </c>
      <c r="Z221" s="5"/>
      <c r="AA221" s="5" t="s">
        <v>367</v>
      </c>
      <c r="AB221" s="5" t="s">
        <v>366</v>
      </c>
      <c r="AC221" s="5"/>
      <c r="AD221" s="5" t="s">
        <v>367</v>
      </c>
      <c r="AE221" s="5" t="s">
        <v>366</v>
      </c>
      <c r="AF221" s="5"/>
      <c r="AG221" s="5" t="s">
        <v>367</v>
      </c>
      <c r="AH221" s="5" t="s">
        <v>713</v>
      </c>
    </row>
    <row r="222" spans="1:34" ht="13.5" customHeight="1">
      <c r="A222" s="4" t="s">
        <v>1629</v>
      </c>
      <c r="B222" s="4" t="s">
        <v>53</v>
      </c>
      <c r="C222" s="4" t="s">
        <v>1419</v>
      </c>
      <c r="D222" s="4" t="s">
        <v>698</v>
      </c>
      <c r="E222" s="4" t="s">
        <v>698</v>
      </c>
      <c r="F222" s="4" t="s">
        <v>358</v>
      </c>
      <c r="G222" s="4" t="s">
        <v>1630</v>
      </c>
      <c r="H222" s="4" t="s">
        <v>1631</v>
      </c>
      <c r="I222" s="4" t="s">
        <v>1624</v>
      </c>
      <c r="J222" s="4" t="s">
        <v>1632</v>
      </c>
      <c r="K222" s="4" t="s">
        <v>1633</v>
      </c>
      <c r="L222" s="4" t="s">
        <v>1627</v>
      </c>
      <c r="M222" s="4" t="s">
        <v>94</v>
      </c>
      <c r="N222" s="4"/>
      <c r="O222" s="4" t="s">
        <v>1634</v>
      </c>
      <c r="P222" s="4" t="s">
        <v>366</v>
      </c>
      <c r="Q222" s="4"/>
      <c r="R222" s="4" t="s">
        <v>367</v>
      </c>
      <c r="S222" s="4" t="s">
        <v>366</v>
      </c>
      <c r="T222" s="4"/>
      <c r="U222" s="4" t="s">
        <v>367</v>
      </c>
      <c r="V222" s="4" t="s">
        <v>366</v>
      </c>
      <c r="W222" s="4"/>
      <c r="X222" s="4" t="s">
        <v>367</v>
      </c>
      <c r="Y222" s="4" t="s">
        <v>366</v>
      </c>
      <c r="Z222" s="4"/>
      <c r="AA222" s="4" t="s">
        <v>367</v>
      </c>
      <c r="AB222" s="4" t="s">
        <v>366</v>
      </c>
      <c r="AC222" s="4"/>
      <c r="AD222" s="4" t="s">
        <v>367</v>
      </c>
      <c r="AE222" s="4" t="s">
        <v>366</v>
      </c>
      <c r="AF222" s="4"/>
      <c r="AG222" s="4" t="s">
        <v>367</v>
      </c>
      <c r="AH222" s="4" t="s">
        <v>713</v>
      </c>
    </row>
    <row r="223" spans="1:34" ht="13.5" customHeight="1">
      <c r="A223" s="5" t="s">
        <v>1635</v>
      </c>
      <c r="B223" s="5" t="s">
        <v>53</v>
      </c>
      <c r="C223" s="5" t="s">
        <v>1419</v>
      </c>
      <c r="D223" s="5" t="s">
        <v>1223</v>
      </c>
      <c r="E223" s="5" t="s">
        <v>1223</v>
      </c>
      <c r="F223" s="5" t="s">
        <v>358</v>
      </c>
      <c r="G223" s="5" t="s">
        <v>1636</v>
      </c>
      <c r="H223" s="5" t="s">
        <v>1637</v>
      </c>
      <c r="I223" s="5" t="s">
        <v>1226</v>
      </c>
      <c r="J223" s="5" t="s">
        <v>1227</v>
      </c>
      <c r="K223" s="5" t="s">
        <v>1638</v>
      </c>
      <c r="L223" s="5" t="s">
        <v>1229</v>
      </c>
      <c r="M223" s="5" t="s">
        <v>94</v>
      </c>
      <c r="N223" s="5"/>
      <c r="O223" s="5" t="s">
        <v>1230</v>
      </c>
      <c r="P223" s="5" t="s">
        <v>366</v>
      </c>
      <c r="Q223" s="5"/>
      <c r="R223" s="5" t="s">
        <v>367</v>
      </c>
      <c r="S223" s="5" t="s">
        <v>366</v>
      </c>
      <c r="T223" s="5"/>
      <c r="U223" s="5" t="s">
        <v>367</v>
      </c>
      <c r="V223" s="5" t="s">
        <v>366</v>
      </c>
      <c r="W223" s="5"/>
      <c r="X223" s="5" t="s">
        <v>367</v>
      </c>
      <c r="Y223" s="5" t="s">
        <v>366</v>
      </c>
      <c r="Z223" s="5"/>
      <c r="AA223" s="5" t="s">
        <v>367</v>
      </c>
      <c r="AB223" s="5" t="s">
        <v>366</v>
      </c>
      <c r="AC223" s="5"/>
      <c r="AD223" s="5" t="s">
        <v>367</v>
      </c>
      <c r="AE223" s="5" t="s">
        <v>366</v>
      </c>
      <c r="AF223" s="5"/>
      <c r="AG223" s="5" t="s">
        <v>367</v>
      </c>
      <c r="AH223" s="5" t="s">
        <v>713</v>
      </c>
    </row>
    <row r="224" spans="1:34" ht="13.5" customHeight="1">
      <c r="A224" s="4" t="s">
        <v>1639</v>
      </c>
      <c r="B224" s="4" t="s">
        <v>53</v>
      </c>
      <c r="C224" s="4" t="s">
        <v>1419</v>
      </c>
      <c r="D224" s="4" t="s">
        <v>1223</v>
      </c>
      <c r="E224" s="4" t="s">
        <v>1223</v>
      </c>
      <c r="F224" s="4" t="s">
        <v>358</v>
      </c>
      <c r="G224" s="4" t="s">
        <v>1640</v>
      </c>
      <c r="H224" s="4" t="s">
        <v>1641</v>
      </c>
      <c r="I224" s="4" t="s">
        <v>1226</v>
      </c>
      <c r="J224" s="4" t="s">
        <v>1227</v>
      </c>
      <c r="K224" s="4" t="s">
        <v>1642</v>
      </c>
      <c r="L224" s="4" t="s">
        <v>1229</v>
      </c>
      <c r="M224" s="4" t="s">
        <v>94</v>
      </c>
      <c r="N224" s="4"/>
      <c r="O224" s="4" t="s">
        <v>1230</v>
      </c>
      <c r="P224" s="4" t="s">
        <v>366</v>
      </c>
      <c r="Q224" s="4"/>
      <c r="R224" s="4" t="s">
        <v>367</v>
      </c>
      <c r="S224" s="4" t="s">
        <v>366</v>
      </c>
      <c r="T224" s="4"/>
      <c r="U224" s="4" t="s">
        <v>367</v>
      </c>
      <c r="V224" s="4" t="s">
        <v>366</v>
      </c>
      <c r="W224" s="4"/>
      <c r="X224" s="4" t="s">
        <v>367</v>
      </c>
      <c r="Y224" s="4" t="s">
        <v>366</v>
      </c>
      <c r="Z224" s="4"/>
      <c r="AA224" s="4" t="s">
        <v>367</v>
      </c>
      <c r="AB224" s="4" t="s">
        <v>366</v>
      </c>
      <c r="AC224" s="4"/>
      <c r="AD224" s="4" t="s">
        <v>367</v>
      </c>
      <c r="AE224" s="4" t="s">
        <v>366</v>
      </c>
      <c r="AF224" s="4"/>
      <c r="AG224" s="4" t="s">
        <v>367</v>
      </c>
      <c r="AH224" s="4" t="s">
        <v>713</v>
      </c>
    </row>
    <row r="225" spans="1:34" ht="13.5" customHeight="1">
      <c r="A225" s="5" t="s">
        <v>1643</v>
      </c>
      <c r="B225" s="5" t="s">
        <v>53</v>
      </c>
      <c r="C225" s="5" t="s">
        <v>1419</v>
      </c>
      <c r="D225" s="5" t="s">
        <v>1223</v>
      </c>
      <c r="E225" s="5" t="s">
        <v>1223</v>
      </c>
      <c r="F225" s="5" t="s">
        <v>358</v>
      </c>
      <c r="G225" s="5" t="s">
        <v>1644</v>
      </c>
      <c r="H225" s="5" t="s">
        <v>1645</v>
      </c>
      <c r="I225" s="5" t="s">
        <v>1226</v>
      </c>
      <c r="J225" s="5" t="s">
        <v>1227</v>
      </c>
      <c r="K225" s="5" t="s">
        <v>1646</v>
      </c>
      <c r="L225" s="5" t="s">
        <v>1229</v>
      </c>
      <c r="M225" s="5" t="s">
        <v>94</v>
      </c>
      <c r="N225" s="5"/>
      <c r="O225" s="5" t="s">
        <v>1230</v>
      </c>
      <c r="P225" s="5" t="s">
        <v>366</v>
      </c>
      <c r="Q225" s="5"/>
      <c r="R225" s="5" t="s">
        <v>367</v>
      </c>
      <c r="S225" s="5" t="s">
        <v>366</v>
      </c>
      <c r="T225" s="5"/>
      <c r="U225" s="5" t="s">
        <v>367</v>
      </c>
      <c r="V225" s="5" t="s">
        <v>366</v>
      </c>
      <c r="W225" s="5"/>
      <c r="X225" s="5" t="s">
        <v>367</v>
      </c>
      <c r="Y225" s="5" t="s">
        <v>366</v>
      </c>
      <c r="Z225" s="5"/>
      <c r="AA225" s="5" t="s">
        <v>367</v>
      </c>
      <c r="AB225" s="5" t="s">
        <v>366</v>
      </c>
      <c r="AC225" s="5"/>
      <c r="AD225" s="5" t="s">
        <v>367</v>
      </c>
      <c r="AE225" s="5" t="s">
        <v>366</v>
      </c>
      <c r="AF225" s="5"/>
      <c r="AG225" s="5" t="s">
        <v>367</v>
      </c>
      <c r="AH225" s="5" t="s">
        <v>713</v>
      </c>
    </row>
    <row r="226" spans="1:34" ht="13.5" customHeight="1">
      <c r="A226" s="4" t="s">
        <v>1647</v>
      </c>
      <c r="B226" s="4" t="s">
        <v>53</v>
      </c>
      <c r="C226" s="4" t="s">
        <v>1419</v>
      </c>
      <c r="D226" s="4" t="s">
        <v>1223</v>
      </c>
      <c r="E226" s="4" t="s">
        <v>1223</v>
      </c>
      <c r="F226" s="4" t="s">
        <v>358</v>
      </c>
      <c r="G226" s="4" t="s">
        <v>1648</v>
      </c>
      <c r="H226" s="4" t="s">
        <v>1649</v>
      </c>
      <c r="I226" s="4" t="s">
        <v>1226</v>
      </c>
      <c r="J226" s="4" t="s">
        <v>1227</v>
      </c>
      <c r="K226" s="4" t="s">
        <v>1650</v>
      </c>
      <c r="L226" s="4" t="s">
        <v>1229</v>
      </c>
      <c r="M226" s="4" t="s">
        <v>94</v>
      </c>
      <c r="N226" s="4"/>
      <c r="O226" s="4" t="s">
        <v>1230</v>
      </c>
      <c r="P226" s="4" t="s">
        <v>366</v>
      </c>
      <c r="Q226" s="4"/>
      <c r="R226" s="4" t="s">
        <v>367</v>
      </c>
      <c r="S226" s="4" t="s">
        <v>366</v>
      </c>
      <c r="T226" s="4"/>
      <c r="U226" s="4" t="s">
        <v>367</v>
      </c>
      <c r="V226" s="4" t="s">
        <v>366</v>
      </c>
      <c r="W226" s="4"/>
      <c r="X226" s="4" t="s">
        <v>367</v>
      </c>
      <c r="Y226" s="4" t="s">
        <v>366</v>
      </c>
      <c r="Z226" s="4"/>
      <c r="AA226" s="4" t="s">
        <v>367</v>
      </c>
      <c r="AB226" s="4" t="s">
        <v>366</v>
      </c>
      <c r="AC226" s="4"/>
      <c r="AD226" s="4" t="s">
        <v>367</v>
      </c>
      <c r="AE226" s="4" t="s">
        <v>366</v>
      </c>
      <c r="AF226" s="4"/>
      <c r="AG226" s="4" t="s">
        <v>367</v>
      </c>
      <c r="AH226" s="4" t="s">
        <v>713</v>
      </c>
    </row>
    <row r="227" spans="1:34" ht="13.5" customHeight="1">
      <c r="A227" s="5" t="s">
        <v>1651</v>
      </c>
      <c r="B227" s="5" t="s">
        <v>53</v>
      </c>
      <c r="C227" s="5" t="s">
        <v>1419</v>
      </c>
      <c r="D227" s="5" t="s">
        <v>1223</v>
      </c>
      <c r="E227" s="5" t="s">
        <v>1223</v>
      </c>
      <c r="F227" s="5" t="s">
        <v>358</v>
      </c>
      <c r="G227" s="5" t="s">
        <v>1652</v>
      </c>
      <c r="H227" s="5" t="s">
        <v>1653</v>
      </c>
      <c r="I227" s="5" t="s">
        <v>1226</v>
      </c>
      <c r="J227" s="5" t="s">
        <v>1227</v>
      </c>
      <c r="K227" s="5" t="s">
        <v>1654</v>
      </c>
      <c r="L227" s="5" t="s">
        <v>1229</v>
      </c>
      <c r="M227" s="5" t="s">
        <v>94</v>
      </c>
      <c r="N227" s="5"/>
      <c r="O227" s="5" t="s">
        <v>1230</v>
      </c>
      <c r="P227" s="5" t="s">
        <v>366</v>
      </c>
      <c r="Q227" s="5"/>
      <c r="R227" s="5" t="s">
        <v>367</v>
      </c>
      <c r="S227" s="5" t="s">
        <v>366</v>
      </c>
      <c r="T227" s="5"/>
      <c r="U227" s="5" t="s">
        <v>367</v>
      </c>
      <c r="V227" s="5" t="s">
        <v>366</v>
      </c>
      <c r="W227" s="5"/>
      <c r="X227" s="5" t="s">
        <v>367</v>
      </c>
      <c r="Y227" s="5" t="s">
        <v>366</v>
      </c>
      <c r="Z227" s="5"/>
      <c r="AA227" s="5" t="s">
        <v>367</v>
      </c>
      <c r="AB227" s="5" t="s">
        <v>366</v>
      </c>
      <c r="AC227" s="5"/>
      <c r="AD227" s="5" t="s">
        <v>367</v>
      </c>
      <c r="AE227" s="5" t="s">
        <v>366</v>
      </c>
      <c r="AF227" s="5"/>
      <c r="AG227" s="5" t="s">
        <v>367</v>
      </c>
      <c r="AH227" s="5" t="s">
        <v>713</v>
      </c>
    </row>
    <row r="228" spans="1:34" ht="13.5" customHeight="1">
      <c r="A228" s="4" t="s">
        <v>1655</v>
      </c>
      <c r="B228" s="4" t="s">
        <v>53</v>
      </c>
      <c r="C228" s="4" t="s">
        <v>1419</v>
      </c>
      <c r="D228" s="4" t="s">
        <v>1223</v>
      </c>
      <c r="E228" s="4" t="s">
        <v>1223</v>
      </c>
      <c r="F228" s="4" t="s">
        <v>358</v>
      </c>
      <c r="G228" s="4" t="s">
        <v>1656</v>
      </c>
      <c r="H228" s="4" t="s">
        <v>1657</v>
      </c>
      <c r="I228" s="4" t="s">
        <v>1226</v>
      </c>
      <c r="J228" s="4" t="s">
        <v>1227</v>
      </c>
      <c r="K228" s="4" t="s">
        <v>1658</v>
      </c>
      <c r="L228" s="4" t="s">
        <v>1229</v>
      </c>
      <c r="M228" s="4" t="s">
        <v>94</v>
      </c>
      <c r="N228" s="4"/>
      <c r="O228" s="4" t="s">
        <v>1230</v>
      </c>
      <c r="P228" s="4" t="s">
        <v>366</v>
      </c>
      <c r="Q228" s="4"/>
      <c r="R228" s="4" t="s">
        <v>367</v>
      </c>
      <c r="S228" s="4" t="s">
        <v>366</v>
      </c>
      <c r="T228" s="4"/>
      <c r="U228" s="4" t="s">
        <v>367</v>
      </c>
      <c r="V228" s="4" t="s">
        <v>366</v>
      </c>
      <c r="W228" s="4"/>
      <c r="X228" s="4" t="s">
        <v>367</v>
      </c>
      <c r="Y228" s="4" t="s">
        <v>366</v>
      </c>
      <c r="Z228" s="4"/>
      <c r="AA228" s="4" t="s">
        <v>367</v>
      </c>
      <c r="AB228" s="4" t="s">
        <v>366</v>
      </c>
      <c r="AC228" s="4"/>
      <c r="AD228" s="4" t="s">
        <v>367</v>
      </c>
      <c r="AE228" s="4" t="s">
        <v>366</v>
      </c>
      <c r="AF228" s="4"/>
      <c r="AG228" s="4" t="s">
        <v>367</v>
      </c>
      <c r="AH228" s="4" t="s">
        <v>713</v>
      </c>
    </row>
    <row r="229" spans="1:34" ht="13.5" customHeight="1">
      <c r="A229" s="5" t="s">
        <v>1659</v>
      </c>
      <c r="B229" s="5" t="s">
        <v>53</v>
      </c>
      <c r="C229" s="5" t="s">
        <v>1419</v>
      </c>
      <c r="D229" s="5" t="s">
        <v>1223</v>
      </c>
      <c r="E229" s="5" t="s">
        <v>1223</v>
      </c>
      <c r="F229" s="5" t="s">
        <v>358</v>
      </c>
      <c r="G229" s="5" t="s">
        <v>1660</v>
      </c>
      <c r="H229" s="5" t="s">
        <v>1661</v>
      </c>
      <c r="I229" s="5" t="s">
        <v>1226</v>
      </c>
      <c r="J229" s="5" t="s">
        <v>1227</v>
      </c>
      <c r="K229" s="5" t="s">
        <v>1662</v>
      </c>
      <c r="L229" s="5" t="s">
        <v>1229</v>
      </c>
      <c r="M229" s="5" t="s">
        <v>94</v>
      </c>
      <c r="N229" s="5"/>
      <c r="O229" s="5" t="s">
        <v>1230</v>
      </c>
      <c r="P229" s="5" t="s">
        <v>366</v>
      </c>
      <c r="Q229" s="5"/>
      <c r="R229" s="5" t="s">
        <v>367</v>
      </c>
      <c r="S229" s="5" t="s">
        <v>366</v>
      </c>
      <c r="T229" s="5"/>
      <c r="U229" s="5" t="s">
        <v>367</v>
      </c>
      <c r="V229" s="5" t="s">
        <v>366</v>
      </c>
      <c r="W229" s="5"/>
      <c r="X229" s="5" t="s">
        <v>367</v>
      </c>
      <c r="Y229" s="5" t="s">
        <v>366</v>
      </c>
      <c r="Z229" s="5"/>
      <c r="AA229" s="5" t="s">
        <v>367</v>
      </c>
      <c r="AB229" s="5" t="s">
        <v>366</v>
      </c>
      <c r="AC229" s="5"/>
      <c r="AD229" s="5" t="s">
        <v>367</v>
      </c>
      <c r="AE229" s="5" t="s">
        <v>366</v>
      </c>
      <c r="AF229" s="5"/>
      <c r="AG229" s="5" t="s">
        <v>367</v>
      </c>
      <c r="AH229" s="5" t="s">
        <v>713</v>
      </c>
    </row>
    <row r="230" spans="1:34" ht="13.5" customHeight="1">
      <c r="A230" s="4" t="s">
        <v>1663</v>
      </c>
      <c r="B230" s="4" t="s">
        <v>53</v>
      </c>
      <c r="C230" s="4" t="s">
        <v>1419</v>
      </c>
      <c r="D230" s="4" t="s">
        <v>1664</v>
      </c>
      <c r="E230" s="4" t="s">
        <v>1664</v>
      </c>
      <c r="F230" s="4" t="s">
        <v>358</v>
      </c>
      <c r="G230" s="4" t="s">
        <v>1665</v>
      </c>
      <c r="H230" s="4" t="s">
        <v>1666</v>
      </c>
      <c r="I230" s="4" t="s">
        <v>1667</v>
      </c>
      <c r="J230" s="4" t="s">
        <v>1668</v>
      </c>
      <c r="K230" s="4" t="s">
        <v>1669</v>
      </c>
      <c r="L230" s="4" t="s">
        <v>1670</v>
      </c>
      <c r="M230" s="4" t="s">
        <v>94</v>
      </c>
      <c r="N230" s="4"/>
      <c r="O230" s="4" t="s">
        <v>1671</v>
      </c>
      <c r="P230" s="4" t="s">
        <v>366</v>
      </c>
      <c r="Q230" s="4"/>
      <c r="R230" s="4" t="s">
        <v>367</v>
      </c>
      <c r="S230" s="4" t="s">
        <v>366</v>
      </c>
      <c r="T230" s="4"/>
      <c r="U230" s="4" t="s">
        <v>367</v>
      </c>
      <c r="V230" s="4" t="s">
        <v>366</v>
      </c>
      <c r="W230" s="4"/>
      <c r="X230" s="4" t="s">
        <v>367</v>
      </c>
      <c r="Y230" s="4" t="s">
        <v>366</v>
      </c>
      <c r="Z230" s="4"/>
      <c r="AA230" s="4" t="s">
        <v>367</v>
      </c>
      <c r="AB230" s="4" t="s">
        <v>366</v>
      </c>
      <c r="AC230" s="4"/>
      <c r="AD230" s="4" t="s">
        <v>367</v>
      </c>
      <c r="AE230" s="4" t="s">
        <v>366</v>
      </c>
      <c r="AF230" s="4"/>
      <c r="AG230" s="4" t="s">
        <v>367</v>
      </c>
      <c r="AH230" s="4" t="s">
        <v>713</v>
      </c>
    </row>
    <row r="231" spans="1:34" ht="13.5" customHeight="1">
      <c r="A231" s="5" t="s">
        <v>1672</v>
      </c>
      <c r="B231" s="5" t="s">
        <v>53</v>
      </c>
      <c r="C231" s="5" t="s">
        <v>1419</v>
      </c>
      <c r="D231" s="5" t="s">
        <v>1664</v>
      </c>
      <c r="E231" s="5" t="s">
        <v>1664</v>
      </c>
      <c r="F231" s="5" t="s">
        <v>358</v>
      </c>
      <c r="G231" s="5" t="s">
        <v>1673</v>
      </c>
      <c r="H231" s="5" t="s">
        <v>1674</v>
      </c>
      <c r="I231" s="5" t="s">
        <v>1667</v>
      </c>
      <c r="J231" s="5" t="s">
        <v>1668</v>
      </c>
      <c r="K231" s="5" t="s">
        <v>1675</v>
      </c>
      <c r="L231" s="5" t="s">
        <v>1670</v>
      </c>
      <c r="M231" s="5" t="s">
        <v>94</v>
      </c>
      <c r="N231" s="5"/>
      <c r="O231" s="5" t="s">
        <v>1671</v>
      </c>
      <c r="P231" s="5" t="s">
        <v>366</v>
      </c>
      <c r="Q231" s="5"/>
      <c r="R231" s="5" t="s">
        <v>367</v>
      </c>
      <c r="S231" s="5" t="s">
        <v>366</v>
      </c>
      <c r="T231" s="5"/>
      <c r="U231" s="5" t="s">
        <v>367</v>
      </c>
      <c r="V231" s="5" t="s">
        <v>366</v>
      </c>
      <c r="W231" s="5"/>
      <c r="X231" s="5" t="s">
        <v>367</v>
      </c>
      <c r="Y231" s="5" t="s">
        <v>366</v>
      </c>
      <c r="Z231" s="5"/>
      <c r="AA231" s="5" t="s">
        <v>367</v>
      </c>
      <c r="AB231" s="5" t="s">
        <v>366</v>
      </c>
      <c r="AC231" s="5"/>
      <c r="AD231" s="5" t="s">
        <v>367</v>
      </c>
      <c r="AE231" s="5" t="s">
        <v>366</v>
      </c>
      <c r="AF231" s="5"/>
      <c r="AG231" s="5" t="s">
        <v>367</v>
      </c>
      <c r="AH231" s="5" t="s">
        <v>713</v>
      </c>
    </row>
    <row r="232" spans="1:34" ht="13.5" customHeight="1">
      <c r="A232" s="4" t="s">
        <v>1676</v>
      </c>
      <c r="B232" s="4" t="s">
        <v>53</v>
      </c>
      <c r="C232" s="4" t="s">
        <v>1419</v>
      </c>
      <c r="D232" s="4" t="s">
        <v>1677</v>
      </c>
      <c r="E232" s="4" t="s">
        <v>1677</v>
      </c>
      <c r="F232" s="4" t="s">
        <v>358</v>
      </c>
      <c r="G232" s="4" t="s">
        <v>1678</v>
      </c>
      <c r="H232" s="4" t="s">
        <v>1679</v>
      </c>
      <c r="I232" s="4" t="s">
        <v>1680</v>
      </c>
      <c r="J232" s="4" t="s">
        <v>1681</v>
      </c>
      <c r="K232" s="4" t="s">
        <v>1682</v>
      </c>
      <c r="L232" s="4" t="s">
        <v>1683</v>
      </c>
      <c r="M232" s="4" t="s">
        <v>64</v>
      </c>
      <c r="N232" s="4"/>
      <c r="O232" s="4" t="s">
        <v>1684</v>
      </c>
      <c r="P232" s="4" t="s">
        <v>366</v>
      </c>
      <c r="Q232" s="4"/>
      <c r="R232" s="4" t="s">
        <v>367</v>
      </c>
      <c r="S232" s="4" t="s">
        <v>366</v>
      </c>
      <c r="T232" s="4"/>
      <c r="U232" s="4" t="s">
        <v>367</v>
      </c>
      <c r="V232" s="4" t="s">
        <v>366</v>
      </c>
      <c r="W232" s="4"/>
      <c r="X232" s="4" t="s">
        <v>367</v>
      </c>
      <c r="Y232" s="4" t="s">
        <v>366</v>
      </c>
      <c r="Z232" s="4"/>
      <c r="AA232" s="4" t="s">
        <v>367</v>
      </c>
      <c r="AB232" s="4" t="s">
        <v>366</v>
      </c>
      <c r="AC232" s="4"/>
      <c r="AD232" s="4" t="s">
        <v>367</v>
      </c>
      <c r="AE232" s="4" t="s">
        <v>366</v>
      </c>
      <c r="AF232" s="4"/>
      <c r="AG232" s="4" t="s">
        <v>367</v>
      </c>
      <c r="AH232" s="4" t="s">
        <v>713</v>
      </c>
    </row>
    <row r="233" spans="1:34" ht="13.5" customHeight="1">
      <c r="A233" s="5" t="s">
        <v>1685</v>
      </c>
      <c r="B233" s="5" t="s">
        <v>53</v>
      </c>
      <c r="C233" s="5" t="s">
        <v>1419</v>
      </c>
      <c r="D233" s="5" t="s">
        <v>1677</v>
      </c>
      <c r="E233" s="5" t="s">
        <v>1677</v>
      </c>
      <c r="F233" s="5" t="s">
        <v>358</v>
      </c>
      <c r="G233" s="5" t="s">
        <v>1686</v>
      </c>
      <c r="H233" s="5" t="s">
        <v>1687</v>
      </c>
      <c r="I233" s="5" t="s">
        <v>1680</v>
      </c>
      <c r="J233" s="5" t="s">
        <v>1681</v>
      </c>
      <c r="K233" s="5" t="s">
        <v>1688</v>
      </c>
      <c r="L233" s="5" t="s">
        <v>1683</v>
      </c>
      <c r="M233" s="5" t="s">
        <v>64</v>
      </c>
      <c r="N233" s="5"/>
      <c r="O233" s="5" t="s">
        <v>1684</v>
      </c>
      <c r="P233" s="5" t="s">
        <v>366</v>
      </c>
      <c r="Q233" s="5"/>
      <c r="R233" s="5" t="s">
        <v>367</v>
      </c>
      <c r="S233" s="5" t="s">
        <v>366</v>
      </c>
      <c r="T233" s="5"/>
      <c r="U233" s="5" t="s">
        <v>367</v>
      </c>
      <c r="V233" s="5" t="s">
        <v>366</v>
      </c>
      <c r="W233" s="5"/>
      <c r="X233" s="5" t="s">
        <v>367</v>
      </c>
      <c r="Y233" s="5" t="s">
        <v>366</v>
      </c>
      <c r="Z233" s="5"/>
      <c r="AA233" s="5" t="s">
        <v>367</v>
      </c>
      <c r="AB233" s="5" t="s">
        <v>366</v>
      </c>
      <c r="AC233" s="5"/>
      <c r="AD233" s="5" t="s">
        <v>367</v>
      </c>
      <c r="AE233" s="5" t="s">
        <v>366</v>
      </c>
      <c r="AF233" s="5"/>
      <c r="AG233" s="5" t="s">
        <v>367</v>
      </c>
      <c r="AH233" s="5" t="s">
        <v>713</v>
      </c>
    </row>
    <row r="234" spans="1:34" ht="13.5" customHeight="1">
      <c r="A234" s="4" t="s">
        <v>1689</v>
      </c>
      <c r="B234" s="4" t="s">
        <v>53</v>
      </c>
      <c r="C234" s="4" t="s">
        <v>1419</v>
      </c>
      <c r="D234" s="4" t="s">
        <v>1677</v>
      </c>
      <c r="E234" s="4" t="s">
        <v>1677</v>
      </c>
      <c r="F234" s="4" t="s">
        <v>358</v>
      </c>
      <c r="G234" s="4" t="s">
        <v>1690</v>
      </c>
      <c r="H234" s="4" t="s">
        <v>1691</v>
      </c>
      <c r="I234" s="4" t="s">
        <v>1680</v>
      </c>
      <c r="J234" s="4" t="s">
        <v>1681</v>
      </c>
      <c r="K234" s="4" t="s">
        <v>1692</v>
      </c>
      <c r="L234" s="4" t="s">
        <v>1683</v>
      </c>
      <c r="M234" s="4" t="s">
        <v>64</v>
      </c>
      <c r="N234" s="4"/>
      <c r="O234" s="4" t="s">
        <v>1684</v>
      </c>
      <c r="P234" s="4" t="s">
        <v>366</v>
      </c>
      <c r="Q234" s="4"/>
      <c r="R234" s="4" t="s">
        <v>367</v>
      </c>
      <c r="S234" s="4" t="s">
        <v>366</v>
      </c>
      <c r="T234" s="4"/>
      <c r="U234" s="4" t="s">
        <v>367</v>
      </c>
      <c r="V234" s="4" t="s">
        <v>366</v>
      </c>
      <c r="W234" s="4"/>
      <c r="X234" s="4" t="s">
        <v>367</v>
      </c>
      <c r="Y234" s="4" t="s">
        <v>366</v>
      </c>
      <c r="Z234" s="4"/>
      <c r="AA234" s="4" t="s">
        <v>367</v>
      </c>
      <c r="AB234" s="4" t="s">
        <v>366</v>
      </c>
      <c r="AC234" s="4"/>
      <c r="AD234" s="4" t="s">
        <v>367</v>
      </c>
      <c r="AE234" s="4" t="s">
        <v>366</v>
      </c>
      <c r="AF234" s="4"/>
      <c r="AG234" s="4" t="s">
        <v>367</v>
      </c>
      <c r="AH234" s="4" t="s">
        <v>713</v>
      </c>
    </row>
    <row r="235" spans="1:34" ht="13.5" customHeight="1">
      <c r="A235" s="5" t="s">
        <v>1693</v>
      </c>
      <c r="B235" s="5" t="s">
        <v>53</v>
      </c>
      <c r="C235" s="5" t="s">
        <v>1419</v>
      </c>
      <c r="D235" s="5" t="s">
        <v>1694</v>
      </c>
      <c r="E235" s="5" t="s">
        <v>1694</v>
      </c>
      <c r="F235" s="5" t="s">
        <v>358</v>
      </c>
      <c r="G235" s="5" t="s">
        <v>1695</v>
      </c>
      <c r="H235" s="5" t="s">
        <v>1696</v>
      </c>
      <c r="I235" s="5" t="s">
        <v>1697</v>
      </c>
      <c r="J235" s="5" t="s">
        <v>1698</v>
      </c>
      <c r="K235" s="5" t="s">
        <v>1699</v>
      </c>
      <c r="L235" s="5" t="s">
        <v>1700</v>
      </c>
      <c r="M235" s="5" t="s">
        <v>94</v>
      </c>
      <c r="N235" s="5"/>
      <c r="O235" s="5" t="s">
        <v>1701</v>
      </c>
      <c r="P235" s="5" t="s">
        <v>366</v>
      </c>
      <c r="Q235" s="5"/>
      <c r="R235" s="5" t="s">
        <v>367</v>
      </c>
      <c r="S235" s="5" t="s">
        <v>366</v>
      </c>
      <c r="T235" s="5"/>
      <c r="U235" s="5" t="s">
        <v>367</v>
      </c>
      <c r="V235" s="5" t="s">
        <v>366</v>
      </c>
      <c r="W235" s="5"/>
      <c r="X235" s="5" t="s">
        <v>367</v>
      </c>
      <c r="Y235" s="5" t="s">
        <v>366</v>
      </c>
      <c r="Z235" s="5"/>
      <c r="AA235" s="5" t="s">
        <v>367</v>
      </c>
      <c r="AB235" s="5" t="s">
        <v>366</v>
      </c>
      <c r="AC235" s="5"/>
      <c r="AD235" s="5" t="s">
        <v>367</v>
      </c>
      <c r="AE235" s="5" t="s">
        <v>366</v>
      </c>
      <c r="AF235" s="5"/>
      <c r="AG235" s="5" t="s">
        <v>367</v>
      </c>
      <c r="AH235" s="5" t="s">
        <v>713</v>
      </c>
    </row>
    <row r="236" spans="1:34" ht="13.5" customHeight="1">
      <c r="A236" s="4" t="s">
        <v>1702</v>
      </c>
      <c r="B236" s="4" t="s">
        <v>53</v>
      </c>
      <c r="C236" s="4" t="s">
        <v>1419</v>
      </c>
      <c r="D236" s="4" t="s">
        <v>1694</v>
      </c>
      <c r="E236" s="4" t="s">
        <v>1694</v>
      </c>
      <c r="F236" s="4" t="s">
        <v>358</v>
      </c>
      <c r="G236" s="4" t="s">
        <v>1703</v>
      </c>
      <c r="H236" s="4" t="s">
        <v>1704</v>
      </c>
      <c r="I236" s="4" t="s">
        <v>1697</v>
      </c>
      <c r="J236" s="4" t="s">
        <v>1698</v>
      </c>
      <c r="K236" s="4" t="s">
        <v>1705</v>
      </c>
      <c r="L236" s="4" t="s">
        <v>1700</v>
      </c>
      <c r="M236" s="4" t="s">
        <v>94</v>
      </c>
      <c r="N236" s="4"/>
      <c r="O236" s="4" t="s">
        <v>1701</v>
      </c>
      <c r="P236" s="4" t="s">
        <v>366</v>
      </c>
      <c r="Q236" s="4"/>
      <c r="R236" s="4" t="s">
        <v>367</v>
      </c>
      <c r="S236" s="4" t="s">
        <v>366</v>
      </c>
      <c r="T236" s="4"/>
      <c r="U236" s="4" t="s">
        <v>367</v>
      </c>
      <c r="V236" s="4" t="s">
        <v>366</v>
      </c>
      <c r="W236" s="4"/>
      <c r="X236" s="4" t="s">
        <v>367</v>
      </c>
      <c r="Y236" s="4" t="s">
        <v>366</v>
      </c>
      <c r="Z236" s="4"/>
      <c r="AA236" s="4" t="s">
        <v>367</v>
      </c>
      <c r="AB236" s="4" t="s">
        <v>366</v>
      </c>
      <c r="AC236" s="4"/>
      <c r="AD236" s="4" t="s">
        <v>367</v>
      </c>
      <c r="AE236" s="4" t="s">
        <v>366</v>
      </c>
      <c r="AF236" s="4"/>
      <c r="AG236" s="4" t="s">
        <v>367</v>
      </c>
      <c r="AH236" s="4" t="s">
        <v>713</v>
      </c>
    </row>
    <row r="237" spans="1:34" ht="13.5" customHeight="1">
      <c r="A237" s="5" t="s">
        <v>1706</v>
      </c>
      <c r="B237" s="5" t="s">
        <v>53</v>
      </c>
      <c r="C237" s="5" t="s">
        <v>1419</v>
      </c>
      <c r="D237" s="5" t="s">
        <v>1694</v>
      </c>
      <c r="E237" s="5" t="s">
        <v>1694</v>
      </c>
      <c r="F237" s="5" t="s">
        <v>358</v>
      </c>
      <c r="G237" s="5" t="s">
        <v>1707</v>
      </c>
      <c r="H237" s="5" t="s">
        <v>1708</v>
      </c>
      <c r="I237" s="5" t="s">
        <v>1697</v>
      </c>
      <c r="J237" s="5" t="s">
        <v>1698</v>
      </c>
      <c r="K237" s="5" t="s">
        <v>1709</v>
      </c>
      <c r="L237" s="5" t="s">
        <v>1700</v>
      </c>
      <c r="M237" s="5" t="s">
        <v>94</v>
      </c>
      <c r="N237" s="5"/>
      <c r="O237" s="5" t="s">
        <v>1701</v>
      </c>
      <c r="P237" s="5" t="s">
        <v>366</v>
      </c>
      <c r="Q237" s="5"/>
      <c r="R237" s="5" t="s">
        <v>367</v>
      </c>
      <c r="S237" s="5" t="s">
        <v>366</v>
      </c>
      <c r="T237" s="5"/>
      <c r="U237" s="5" t="s">
        <v>367</v>
      </c>
      <c r="V237" s="5" t="s">
        <v>366</v>
      </c>
      <c r="W237" s="5"/>
      <c r="X237" s="5" t="s">
        <v>367</v>
      </c>
      <c r="Y237" s="5" t="s">
        <v>366</v>
      </c>
      <c r="Z237" s="5"/>
      <c r="AA237" s="5" t="s">
        <v>367</v>
      </c>
      <c r="AB237" s="5" t="s">
        <v>366</v>
      </c>
      <c r="AC237" s="5"/>
      <c r="AD237" s="5" t="s">
        <v>367</v>
      </c>
      <c r="AE237" s="5" t="s">
        <v>366</v>
      </c>
      <c r="AF237" s="5"/>
      <c r="AG237" s="5" t="s">
        <v>367</v>
      </c>
      <c r="AH237" s="5" t="s">
        <v>713</v>
      </c>
    </row>
    <row r="238" spans="1:34" ht="13.5" customHeight="1">
      <c r="A238" s="4" t="s">
        <v>1710</v>
      </c>
      <c r="B238" s="4" t="s">
        <v>53</v>
      </c>
      <c r="C238" s="4" t="s">
        <v>1419</v>
      </c>
      <c r="D238" s="4" t="s">
        <v>1694</v>
      </c>
      <c r="E238" s="4" t="s">
        <v>1694</v>
      </c>
      <c r="F238" s="4" t="s">
        <v>358</v>
      </c>
      <c r="G238" s="4" t="s">
        <v>1711</v>
      </c>
      <c r="H238" s="4" t="s">
        <v>1712</v>
      </c>
      <c r="I238" s="4" t="s">
        <v>1697</v>
      </c>
      <c r="J238" s="4" t="s">
        <v>1698</v>
      </c>
      <c r="K238" s="4" t="s">
        <v>1713</v>
      </c>
      <c r="L238" s="4" t="s">
        <v>1700</v>
      </c>
      <c r="M238" s="4" t="s">
        <v>94</v>
      </c>
      <c r="N238" s="4"/>
      <c r="O238" s="4" t="s">
        <v>1701</v>
      </c>
      <c r="P238" s="4" t="s">
        <v>366</v>
      </c>
      <c r="Q238" s="4"/>
      <c r="R238" s="4" t="s">
        <v>367</v>
      </c>
      <c r="S238" s="4" t="s">
        <v>366</v>
      </c>
      <c r="T238" s="4"/>
      <c r="U238" s="4" t="s">
        <v>367</v>
      </c>
      <c r="V238" s="4" t="s">
        <v>366</v>
      </c>
      <c r="W238" s="4"/>
      <c r="X238" s="4" t="s">
        <v>367</v>
      </c>
      <c r="Y238" s="4" t="s">
        <v>366</v>
      </c>
      <c r="Z238" s="4"/>
      <c r="AA238" s="4" t="s">
        <v>367</v>
      </c>
      <c r="AB238" s="4" t="s">
        <v>366</v>
      </c>
      <c r="AC238" s="4"/>
      <c r="AD238" s="4" t="s">
        <v>367</v>
      </c>
      <c r="AE238" s="4" t="s">
        <v>366</v>
      </c>
      <c r="AF238" s="4"/>
      <c r="AG238" s="4" t="s">
        <v>367</v>
      </c>
      <c r="AH238" s="4" t="s">
        <v>713</v>
      </c>
    </row>
    <row r="239" spans="1:34" ht="13.5" customHeight="1">
      <c r="A239" s="5" t="s">
        <v>1714</v>
      </c>
      <c r="B239" s="5" t="s">
        <v>53</v>
      </c>
      <c r="C239" s="5" t="s">
        <v>1419</v>
      </c>
      <c r="D239" s="5" t="s">
        <v>1694</v>
      </c>
      <c r="E239" s="5" t="s">
        <v>1694</v>
      </c>
      <c r="F239" s="5" t="s">
        <v>358</v>
      </c>
      <c r="G239" s="5" t="s">
        <v>1715</v>
      </c>
      <c r="H239" s="5" t="s">
        <v>1716</v>
      </c>
      <c r="I239" s="5" t="s">
        <v>1697</v>
      </c>
      <c r="J239" s="5" t="s">
        <v>1698</v>
      </c>
      <c r="K239" s="5" t="s">
        <v>1717</v>
      </c>
      <c r="L239" s="5" t="s">
        <v>1700</v>
      </c>
      <c r="M239" s="5" t="s">
        <v>94</v>
      </c>
      <c r="N239" s="5"/>
      <c r="O239" s="5" t="s">
        <v>1701</v>
      </c>
      <c r="P239" s="5" t="s">
        <v>366</v>
      </c>
      <c r="Q239" s="5"/>
      <c r="R239" s="5" t="s">
        <v>367</v>
      </c>
      <c r="S239" s="5" t="s">
        <v>366</v>
      </c>
      <c r="T239" s="5"/>
      <c r="U239" s="5" t="s">
        <v>367</v>
      </c>
      <c r="V239" s="5" t="s">
        <v>366</v>
      </c>
      <c r="W239" s="5"/>
      <c r="X239" s="5" t="s">
        <v>367</v>
      </c>
      <c r="Y239" s="5" t="s">
        <v>366</v>
      </c>
      <c r="Z239" s="5"/>
      <c r="AA239" s="5" t="s">
        <v>367</v>
      </c>
      <c r="AB239" s="5" t="s">
        <v>366</v>
      </c>
      <c r="AC239" s="5"/>
      <c r="AD239" s="5" t="s">
        <v>367</v>
      </c>
      <c r="AE239" s="5" t="s">
        <v>366</v>
      </c>
      <c r="AF239" s="5"/>
      <c r="AG239" s="5" t="s">
        <v>367</v>
      </c>
      <c r="AH239" s="5" t="s">
        <v>713</v>
      </c>
    </row>
    <row r="240" spans="1:34" ht="13.5" customHeight="1">
      <c r="A240" s="4" t="s">
        <v>1718</v>
      </c>
      <c r="B240" s="4" t="s">
        <v>53</v>
      </c>
      <c r="C240" s="4" t="s">
        <v>1419</v>
      </c>
      <c r="D240" s="4" t="s">
        <v>1694</v>
      </c>
      <c r="E240" s="4" t="s">
        <v>1694</v>
      </c>
      <c r="F240" s="4" t="s">
        <v>358</v>
      </c>
      <c r="G240" s="4" t="s">
        <v>1719</v>
      </c>
      <c r="H240" s="4" t="s">
        <v>1720</v>
      </c>
      <c r="I240" s="4" t="s">
        <v>1697</v>
      </c>
      <c r="J240" s="4" t="s">
        <v>1698</v>
      </c>
      <c r="K240" s="4" t="s">
        <v>1721</v>
      </c>
      <c r="L240" s="4" t="s">
        <v>1700</v>
      </c>
      <c r="M240" s="4" t="s">
        <v>94</v>
      </c>
      <c r="N240" s="4"/>
      <c r="O240" s="4" t="s">
        <v>1701</v>
      </c>
      <c r="P240" s="4" t="s">
        <v>366</v>
      </c>
      <c r="Q240" s="4"/>
      <c r="R240" s="4" t="s">
        <v>367</v>
      </c>
      <c r="S240" s="4" t="s">
        <v>366</v>
      </c>
      <c r="T240" s="4"/>
      <c r="U240" s="4" t="s">
        <v>367</v>
      </c>
      <c r="V240" s="4" t="s">
        <v>366</v>
      </c>
      <c r="W240" s="4"/>
      <c r="X240" s="4" t="s">
        <v>367</v>
      </c>
      <c r="Y240" s="4" t="s">
        <v>366</v>
      </c>
      <c r="Z240" s="4"/>
      <c r="AA240" s="4" t="s">
        <v>367</v>
      </c>
      <c r="AB240" s="4" t="s">
        <v>366</v>
      </c>
      <c r="AC240" s="4"/>
      <c r="AD240" s="4" t="s">
        <v>367</v>
      </c>
      <c r="AE240" s="4" t="s">
        <v>366</v>
      </c>
      <c r="AF240" s="4"/>
      <c r="AG240" s="4" t="s">
        <v>367</v>
      </c>
      <c r="AH240" s="4" t="s">
        <v>713</v>
      </c>
    </row>
    <row r="241" spans="1:34" ht="13.5" customHeight="1">
      <c r="A241" s="5" t="s">
        <v>1722</v>
      </c>
      <c r="B241" s="5" t="s">
        <v>53</v>
      </c>
      <c r="C241" s="5" t="s">
        <v>1419</v>
      </c>
      <c r="D241" s="5" t="s">
        <v>1694</v>
      </c>
      <c r="E241" s="5" t="s">
        <v>1694</v>
      </c>
      <c r="F241" s="5" t="s">
        <v>358</v>
      </c>
      <c r="G241" s="5" t="s">
        <v>1723</v>
      </c>
      <c r="H241" s="5" t="s">
        <v>1724</v>
      </c>
      <c r="I241" s="5" t="s">
        <v>1697</v>
      </c>
      <c r="J241" s="5" t="s">
        <v>1698</v>
      </c>
      <c r="K241" s="5" t="s">
        <v>1725</v>
      </c>
      <c r="L241" s="5" t="s">
        <v>1700</v>
      </c>
      <c r="M241" s="5" t="s">
        <v>94</v>
      </c>
      <c r="N241" s="5"/>
      <c r="O241" s="5" t="s">
        <v>1701</v>
      </c>
      <c r="P241" s="5" t="s">
        <v>366</v>
      </c>
      <c r="Q241" s="5"/>
      <c r="R241" s="5" t="s">
        <v>367</v>
      </c>
      <c r="S241" s="5" t="s">
        <v>366</v>
      </c>
      <c r="T241" s="5"/>
      <c r="U241" s="5" t="s">
        <v>367</v>
      </c>
      <c r="V241" s="5" t="s">
        <v>366</v>
      </c>
      <c r="W241" s="5"/>
      <c r="X241" s="5" t="s">
        <v>367</v>
      </c>
      <c r="Y241" s="5" t="s">
        <v>366</v>
      </c>
      <c r="Z241" s="5"/>
      <c r="AA241" s="5" t="s">
        <v>367</v>
      </c>
      <c r="AB241" s="5" t="s">
        <v>366</v>
      </c>
      <c r="AC241" s="5"/>
      <c r="AD241" s="5" t="s">
        <v>367</v>
      </c>
      <c r="AE241" s="5" t="s">
        <v>366</v>
      </c>
      <c r="AF241" s="5"/>
      <c r="AG241" s="5" t="s">
        <v>367</v>
      </c>
      <c r="AH241" s="5" t="s">
        <v>713</v>
      </c>
    </row>
    <row r="242" spans="1:34" ht="13.5" customHeight="1">
      <c r="A242" s="4" t="s">
        <v>1726</v>
      </c>
      <c r="B242" s="4" t="s">
        <v>53</v>
      </c>
      <c r="C242" s="4" t="s">
        <v>1419</v>
      </c>
      <c r="D242" s="4" t="s">
        <v>598</v>
      </c>
      <c r="E242" s="4" t="s">
        <v>598</v>
      </c>
      <c r="F242" s="4" t="s">
        <v>358</v>
      </c>
      <c r="G242" s="4" t="s">
        <v>1727</v>
      </c>
      <c r="H242" s="4" t="s">
        <v>1728</v>
      </c>
      <c r="I242" s="4" t="s">
        <v>1729</v>
      </c>
      <c r="J242" s="4" t="s">
        <v>1730</v>
      </c>
      <c r="K242" s="4" t="s">
        <v>1731</v>
      </c>
      <c r="L242" s="4" t="s">
        <v>1627</v>
      </c>
      <c r="M242" s="4" t="s">
        <v>94</v>
      </c>
      <c r="N242" s="4"/>
      <c r="O242" s="4" t="s">
        <v>1732</v>
      </c>
      <c r="P242" s="4" t="s">
        <v>366</v>
      </c>
      <c r="Q242" s="4"/>
      <c r="R242" s="4" t="s">
        <v>367</v>
      </c>
      <c r="S242" s="4" t="s">
        <v>366</v>
      </c>
      <c r="T242" s="4"/>
      <c r="U242" s="4" t="s">
        <v>367</v>
      </c>
      <c r="V242" s="4" t="s">
        <v>366</v>
      </c>
      <c r="W242" s="4"/>
      <c r="X242" s="4" t="s">
        <v>367</v>
      </c>
      <c r="Y242" s="4" t="s">
        <v>366</v>
      </c>
      <c r="Z242" s="4"/>
      <c r="AA242" s="4" t="s">
        <v>367</v>
      </c>
      <c r="AB242" s="4" t="s">
        <v>366</v>
      </c>
      <c r="AC242" s="4"/>
      <c r="AD242" s="4" t="s">
        <v>367</v>
      </c>
      <c r="AE242" s="4" t="s">
        <v>366</v>
      </c>
      <c r="AF242" s="4"/>
      <c r="AG242" s="4" t="s">
        <v>367</v>
      </c>
      <c r="AH242" s="4" t="s">
        <v>713</v>
      </c>
    </row>
    <row r="243" spans="1:34" ht="13.5" customHeight="1">
      <c r="A243" s="5" t="s">
        <v>1733</v>
      </c>
      <c r="B243" s="5" t="s">
        <v>53</v>
      </c>
      <c r="C243" s="5" t="s">
        <v>1419</v>
      </c>
      <c r="D243" s="5" t="s">
        <v>598</v>
      </c>
      <c r="E243" s="5" t="s">
        <v>598</v>
      </c>
      <c r="F243" s="5" t="s">
        <v>358</v>
      </c>
      <c r="G243" s="5" t="s">
        <v>1734</v>
      </c>
      <c r="H243" s="5" t="s">
        <v>1735</v>
      </c>
      <c r="I243" s="5" t="s">
        <v>1729</v>
      </c>
      <c r="J243" s="5" t="s">
        <v>1736</v>
      </c>
      <c r="K243" s="5" t="s">
        <v>1737</v>
      </c>
      <c r="L243" s="5" t="s">
        <v>1627</v>
      </c>
      <c r="M243" s="5" t="s">
        <v>94</v>
      </c>
      <c r="N243" s="5"/>
      <c r="O243" s="5" t="s">
        <v>1738</v>
      </c>
      <c r="P243" s="5" t="s">
        <v>366</v>
      </c>
      <c r="Q243" s="5"/>
      <c r="R243" s="5" t="s">
        <v>367</v>
      </c>
      <c r="S243" s="5" t="s">
        <v>366</v>
      </c>
      <c r="T243" s="5"/>
      <c r="U243" s="5" t="s">
        <v>367</v>
      </c>
      <c r="V243" s="5" t="s">
        <v>366</v>
      </c>
      <c r="W243" s="5"/>
      <c r="X243" s="5" t="s">
        <v>367</v>
      </c>
      <c r="Y243" s="5" t="s">
        <v>366</v>
      </c>
      <c r="Z243" s="5"/>
      <c r="AA243" s="5" t="s">
        <v>367</v>
      </c>
      <c r="AB243" s="5" t="s">
        <v>366</v>
      </c>
      <c r="AC243" s="5"/>
      <c r="AD243" s="5" t="s">
        <v>367</v>
      </c>
      <c r="AE243" s="5" t="s">
        <v>366</v>
      </c>
      <c r="AF243" s="5"/>
      <c r="AG243" s="5" t="s">
        <v>367</v>
      </c>
      <c r="AH243" s="5" t="s">
        <v>713</v>
      </c>
    </row>
    <row r="244" spans="1:34" ht="13.5" customHeight="1">
      <c r="A244" s="4" t="s">
        <v>1739</v>
      </c>
      <c r="B244" s="4" t="s">
        <v>53</v>
      </c>
      <c r="C244" s="4" t="s">
        <v>1419</v>
      </c>
      <c r="D244" s="4" t="s">
        <v>598</v>
      </c>
      <c r="E244" s="4" t="s">
        <v>598</v>
      </c>
      <c r="F244" s="4" t="s">
        <v>358</v>
      </c>
      <c r="G244" s="4" t="s">
        <v>1740</v>
      </c>
      <c r="H244" s="4" t="s">
        <v>1741</v>
      </c>
      <c r="I244" s="4" t="s">
        <v>1729</v>
      </c>
      <c r="J244" s="4" t="s">
        <v>1742</v>
      </c>
      <c r="K244" s="4" t="s">
        <v>1743</v>
      </c>
      <c r="L244" s="4" t="s">
        <v>1627</v>
      </c>
      <c r="M244" s="4" t="s">
        <v>94</v>
      </c>
      <c r="N244" s="4"/>
      <c r="O244" s="4" t="s">
        <v>1744</v>
      </c>
      <c r="P244" s="4" t="s">
        <v>366</v>
      </c>
      <c r="Q244" s="4"/>
      <c r="R244" s="4" t="s">
        <v>367</v>
      </c>
      <c r="S244" s="4" t="s">
        <v>366</v>
      </c>
      <c r="T244" s="4"/>
      <c r="U244" s="4" t="s">
        <v>367</v>
      </c>
      <c r="V244" s="4" t="s">
        <v>366</v>
      </c>
      <c r="W244" s="4"/>
      <c r="X244" s="4" t="s">
        <v>367</v>
      </c>
      <c r="Y244" s="4" t="s">
        <v>366</v>
      </c>
      <c r="Z244" s="4"/>
      <c r="AA244" s="4" t="s">
        <v>367</v>
      </c>
      <c r="AB244" s="4" t="s">
        <v>366</v>
      </c>
      <c r="AC244" s="4"/>
      <c r="AD244" s="4" t="s">
        <v>367</v>
      </c>
      <c r="AE244" s="4" t="s">
        <v>366</v>
      </c>
      <c r="AF244" s="4"/>
      <c r="AG244" s="4" t="s">
        <v>367</v>
      </c>
      <c r="AH244" s="4" t="s">
        <v>713</v>
      </c>
    </row>
    <row r="245" spans="1:34" ht="13.5" customHeight="1">
      <c r="A245" s="5" t="s">
        <v>1745</v>
      </c>
      <c r="B245" s="5" t="s">
        <v>53</v>
      </c>
      <c r="C245" s="5" t="s">
        <v>1419</v>
      </c>
      <c r="D245" s="5" t="s">
        <v>1746</v>
      </c>
      <c r="E245" s="5" t="s">
        <v>1746</v>
      </c>
      <c r="F245" s="5" t="s">
        <v>358</v>
      </c>
      <c r="G245" s="5" t="s">
        <v>1747</v>
      </c>
      <c r="H245" s="5" t="s">
        <v>1748</v>
      </c>
      <c r="I245" s="5" t="s">
        <v>1749</v>
      </c>
      <c r="J245" s="5" t="s">
        <v>1750</v>
      </c>
      <c r="K245" s="5" t="s">
        <v>1751</v>
      </c>
      <c r="L245" s="5" t="s">
        <v>1752</v>
      </c>
      <c r="M245" s="5" t="s">
        <v>377</v>
      </c>
      <c r="N245" s="5"/>
      <c r="O245" s="5" t="s">
        <v>1753</v>
      </c>
      <c r="P245" s="5" t="s">
        <v>366</v>
      </c>
      <c r="Q245" s="5"/>
      <c r="R245" s="5" t="s">
        <v>367</v>
      </c>
      <c r="S245" s="5" t="s">
        <v>366</v>
      </c>
      <c r="T245" s="5"/>
      <c r="U245" s="5" t="s">
        <v>367</v>
      </c>
      <c r="V245" s="5" t="s">
        <v>366</v>
      </c>
      <c r="W245" s="5"/>
      <c r="X245" s="5" t="s">
        <v>367</v>
      </c>
      <c r="Y245" s="5" t="s">
        <v>366</v>
      </c>
      <c r="Z245" s="5"/>
      <c r="AA245" s="5" t="s">
        <v>367</v>
      </c>
      <c r="AB245" s="5" t="s">
        <v>366</v>
      </c>
      <c r="AC245" s="5"/>
      <c r="AD245" s="5" t="s">
        <v>367</v>
      </c>
      <c r="AE245" s="5" t="s">
        <v>366</v>
      </c>
      <c r="AF245" s="5"/>
      <c r="AG245" s="5" t="s">
        <v>367</v>
      </c>
      <c r="AH245" s="5" t="s">
        <v>713</v>
      </c>
    </row>
    <row r="246" spans="1:34" ht="13.5" customHeight="1">
      <c r="A246" s="4" t="s">
        <v>1754</v>
      </c>
      <c r="B246" s="4" t="s">
        <v>53</v>
      </c>
      <c r="C246" s="4" t="s">
        <v>1419</v>
      </c>
      <c r="D246" s="4" t="s">
        <v>1746</v>
      </c>
      <c r="E246" s="4" t="s">
        <v>1746</v>
      </c>
      <c r="F246" s="4" t="s">
        <v>358</v>
      </c>
      <c r="G246" s="4" t="s">
        <v>1755</v>
      </c>
      <c r="H246" s="4" t="s">
        <v>1756</v>
      </c>
      <c r="I246" s="4" t="s">
        <v>1749</v>
      </c>
      <c r="J246" s="4" t="s">
        <v>1750</v>
      </c>
      <c r="K246" s="4" t="s">
        <v>1757</v>
      </c>
      <c r="L246" s="4" t="s">
        <v>1752</v>
      </c>
      <c r="M246" s="4" t="s">
        <v>377</v>
      </c>
      <c r="N246" s="4"/>
      <c r="O246" s="4" t="s">
        <v>1753</v>
      </c>
      <c r="P246" s="4" t="s">
        <v>366</v>
      </c>
      <c r="Q246" s="4"/>
      <c r="R246" s="4" t="s">
        <v>367</v>
      </c>
      <c r="S246" s="4" t="s">
        <v>366</v>
      </c>
      <c r="T246" s="4"/>
      <c r="U246" s="4" t="s">
        <v>367</v>
      </c>
      <c r="V246" s="4" t="s">
        <v>366</v>
      </c>
      <c r="W246" s="4"/>
      <c r="X246" s="4" t="s">
        <v>367</v>
      </c>
      <c r="Y246" s="4" t="s">
        <v>366</v>
      </c>
      <c r="Z246" s="4"/>
      <c r="AA246" s="4" t="s">
        <v>367</v>
      </c>
      <c r="AB246" s="4" t="s">
        <v>366</v>
      </c>
      <c r="AC246" s="4"/>
      <c r="AD246" s="4" t="s">
        <v>367</v>
      </c>
      <c r="AE246" s="4" t="s">
        <v>366</v>
      </c>
      <c r="AF246" s="4"/>
      <c r="AG246" s="4" t="s">
        <v>367</v>
      </c>
      <c r="AH246" s="4" t="s">
        <v>713</v>
      </c>
    </row>
    <row r="247" spans="1:34" ht="13.5" customHeight="1">
      <c r="A247" s="5" t="s">
        <v>1758</v>
      </c>
      <c r="B247" s="5" t="s">
        <v>53</v>
      </c>
      <c r="C247" s="5" t="s">
        <v>1419</v>
      </c>
      <c r="D247" s="5" t="s">
        <v>1746</v>
      </c>
      <c r="E247" s="5" t="s">
        <v>1746</v>
      </c>
      <c r="F247" s="5" t="s">
        <v>358</v>
      </c>
      <c r="G247" s="5" t="s">
        <v>1759</v>
      </c>
      <c r="H247" s="5" t="s">
        <v>1760</v>
      </c>
      <c r="I247" s="5" t="s">
        <v>1749</v>
      </c>
      <c r="J247" s="5" t="s">
        <v>1750</v>
      </c>
      <c r="K247" s="5" t="s">
        <v>1761</v>
      </c>
      <c r="L247" s="5" t="s">
        <v>1752</v>
      </c>
      <c r="M247" s="5" t="s">
        <v>377</v>
      </c>
      <c r="N247" s="5"/>
      <c r="O247" s="5" t="s">
        <v>1753</v>
      </c>
      <c r="P247" s="5" t="s">
        <v>366</v>
      </c>
      <c r="Q247" s="5"/>
      <c r="R247" s="5" t="s">
        <v>367</v>
      </c>
      <c r="S247" s="5" t="s">
        <v>366</v>
      </c>
      <c r="T247" s="5"/>
      <c r="U247" s="5" t="s">
        <v>367</v>
      </c>
      <c r="V247" s="5" t="s">
        <v>366</v>
      </c>
      <c r="W247" s="5"/>
      <c r="X247" s="5" t="s">
        <v>367</v>
      </c>
      <c r="Y247" s="5" t="s">
        <v>366</v>
      </c>
      <c r="Z247" s="5"/>
      <c r="AA247" s="5" t="s">
        <v>367</v>
      </c>
      <c r="AB247" s="5" t="s">
        <v>366</v>
      </c>
      <c r="AC247" s="5"/>
      <c r="AD247" s="5" t="s">
        <v>367</v>
      </c>
      <c r="AE247" s="5" t="s">
        <v>366</v>
      </c>
      <c r="AF247" s="5"/>
      <c r="AG247" s="5" t="s">
        <v>367</v>
      </c>
      <c r="AH247" s="5" t="s">
        <v>713</v>
      </c>
    </row>
    <row r="248" spans="1:34" ht="13.5" customHeight="1">
      <c r="A248" s="4" t="s">
        <v>1762</v>
      </c>
      <c r="B248" s="4" t="s">
        <v>53</v>
      </c>
      <c r="C248" s="4" t="s">
        <v>1419</v>
      </c>
      <c r="D248" s="4" t="s">
        <v>1763</v>
      </c>
      <c r="E248" s="4" t="s">
        <v>1763</v>
      </c>
      <c r="F248" s="4" t="s">
        <v>358</v>
      </c>
      <c r="G248" s="4" t="s">
        <v>1764</v>
      </c>
      <c r="H248" s="4" t="s">
        <v>1765</v>
      </c>
      <c r="I248" s="4" t="s">
        <v>1766</v>
      </c>
      <c r="J248" s="4" t="s">
        <v>1767</v>
      </c>
      <c r="K248" s="4" t="s">
        <v>1768</v>
      </c>
      <c r="L248" s="4" t="s">
        <v>1769</v>
      </c>
      <c r="M248" s="4" t="s">
        <v>64</v>
      </c>
      <c r="N248" s="4"/>
      <c r="O248" s="4" t="s">
        <v>1770</v>
      </c>
      <c r="P248" s="4" t="s">
        <v>366</v>
      </c>
      <c r="Q248" s="4"/>
      <c r="R248" s="4" t="s">
        <v>367</v>
      </c>
      <c r="S248" s="4" t="s">
        <v>366</v>
      </c>
      <c r="T248" s="4"/>
      <c r="U248" s="4" t="s">
        <v>367</v>
      </c>
      <c r="V248" s="4" t="s">
        <v>366</v>
      </c>
      <c r="W248" s="4"/>
      <c r="X248" s="4" t="s">
        <v>367</v>
      </c>
      <c r="Y248" s="4" t="s">
        <v>366</v>
      </c>
      <c r="Z248" s="4"/>
      <c r="AA248" s="4" t="s">
        <v>367</v>
      </c>
      <c r="AB248" s="4" t="s">
        <v>366</v>
      </c>
      <c r="AC248" s="4"/>
      <c r="AD248" s="4" t="s">
        <v>367</v>
      </c>
      <c r="AE248" s="4" t="s">
        <v>366</v>
      </c>
      <c r="AF248" s="4"/>
      <c r="AG248" s="4" t="s">
        <v>367</v>
      </c>
      <c r="AH248" s="4" t="s">
        <v>713</v>
      </c>
    </row>
    <row r="249" spans="1:34" ht="13.5" customHeight="1">
      <c r="A249" s="5" t="s">
        <v>1771</v>
      </c>
      <c r="B249" s="5" t="s">
        <v>53</v>
      </c>
      <c r="C249" s="5" t="s">
        <v>1419</v>
      </c>
      <c r="D249" s="5" t="s">
        <v>1763</v>
      </c>
      <c r="E249" s="5" t="s">
        <v>1763</v>
      </c>
      <c r="F249" s="5" t="s">
        <v>358</v>
      </c>
      <c r="G249" s="5" t="s">
        <v>1772</v>
      </c>
      <c r="H249" s="5" t="s">
        <v>1773</v>
      </c>
      <c r="I249" s="5" t="s">
        <v>1766</v>
      </c>
      <c r="J249" s="5" t="s">
        <v>1767</v>
      </c>
      <c r="K249" s="5" t="s">
        <v>1774</v>
      </c>
      <c r="L249" s="5" t="s">
        <v>1769</v>
      </c>
      <c r="M249" s="5" t="s">
        <v>64</v>
      </c>
      <c r="N249" s="5"/>
      <c r="O249" s="5" t="s">
        <v>1770</v>
      </c>
      <c r="P249" s="5" t="s">
        <v>366</v>
      </c>
      <c r="Q249" s="5"/>
      <c r="R249" s="5" t="s">
        <v>367</v>
      </c>
      <c r="S249" s="5" t="s">
        <v>366</v>
      </c>
      <c r="T249" s="5"/>
      <c r="U249" s="5" t="s">
        <v>367</v>
      </c>
      <c r="V249" s="5" t="s">
        <v>366</v>
      </c>
      <c r="W249" s="5"/>
      <c r="X249" s="5" t="s">
        <v>367</v>
      </c>
      <c r="Y249" s="5" t="s">
        <v>366</v>
      </c>
      <c r="Z249" s="5"/>
      <c r="AA249" s="5" t="s">
        <v>367</v>
      </c>
      <c r="AB249" s="5" t="s">
        <v>366</v>
      </c>
      <c r="AC249" s="5"/>
      <c r="AD249" s="5" t="s">
        <v>367</v>
      </c>
      <c r="AE249" s="5" t="s">
        <v>366</v>
      </c>
      <c r="AF249" s="5"/>
      <c r="AG249" s="5" t="s">
        <v>367</v>
      </c>
      <c r="AH249" s="5" t="s">
        <v>713</v>
      </c>
    </row>
    <row r="250" spans="1:34" ht="13.5" customHeight="1">
      <c r="A250" s="4" t="s">
        <v>1775</v>
      </c>
      <c r="B250" s="4" t="s">
        <v>53</v>
      </c>
      <c r="C250" s="4" t="s">
        <v>1419</v>
      </c>
      <c r="D250" s="4" t="s">
        <v>1763</v>
      </c>
      <c r="E250" s="4" t="s">
        <v>1763</v>
      </c>
      <c r="F250" s="4" t="s">
        <v>358</v>
      </c>
      <c r="G250" s="4" t="s">
        <v>1776</v>
      </c>
      <c r="H250" s="4" t="s">
        <v>1777</v>
      </c>
      <c r="I250" s="4" t="s">
        <v>1766</v>
      </c>
      <c r="J250" s="4" t="s">
        <v>1767</v>
      </c>
      <c r="K250" s="4" t="s">
        <v>1778</v>
      </c>
      <c r="L250" s="4" t="s">
        <v>1769</v>
      </c>
      <c r="M250" s="4" t="s">
        <v>64</v>
      </c>
      <c r="N250" s="4"/>
      <c r="O250" s="4" t="s">
        <v>1770</v>
      </c>
      <c r="P250" s="4" t="s">
        <v>366</v>
      </c>
      <c r="Q250" s="4"/>
      <c r="R250" s="4" t="s">
        <v>367</v>
      </c>
      <c r="S250" s="4" t="s">
        <v>366</v>
      </c>
      <c r="T250" s="4"/>
      <c r="U250" s="4" t="s">
        <v>367</v>
      </c>
      <c r="V250" s="4" t="s">
        <v>366</v>
      </c>
      <c r="W250" s="4"/>
      <c r="X250" s="4" t="s">
        <v>367</v>
      </c>
      <c r="Y250" s="4" t="s">
        <v>366</v>
      </c>
      <c r="Z250" s="4"/>
      <c r="AA250" s="4" t="s">
        <v>367</v>
      </c>
      <c r="AB250" s="4" t="s">
        <v>366</v>
      </c>
      <c r="AC250" s="4"/>
      <c r="AD250" s="4" t="s">
        <v>367</v>
      </c>
      <c r="AE250" s="4" t="s">
        <v>366</v>
      </c>
      <c r="AF250" s="4"/>
      <c r="AG250" s="4" t="s">
        <v>367</v>
      </c>
      <c r="AH250" s="4" t="s">
        <v>713</v>
      </c>
    </row>
    <row r="251" spans="1:34" ht="13.5" customHeight="1"/>
    <row r="252" spans="1:34" ht="13.5" customHeight="1"/>
    <row r="253" spans="1:34" ht="13.5" customHeight="1"/>
    <row r="254" spans="1:34" ht="13.5" customHeight="1"/>
    <row r="255" spans="1:34" ht="13.5" customHeight="1"/>
    <row r="256" spans="1:34"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1:AH250" xr:uid="{00000000-0009-0000-0000-000001000000}">
    <filterColumn colId="1">
      <filters>
        <filter val="ADAS Product"/>
      </filters>
    </filterColumn>
  </autoFilter>
  <conditionalFormatting sqref="F2:F250">
    <cfRule type="expression" dxfId="6" priority="1">
      <formula>F2="P0"</formula>
    </cfRule>
    <cfRule type="expression" dxfId="5" priority="2">
      <formula>F2="P1"</formula>
    </cfRule>
    <cfRule type="expression" dxfId="4" priority="3">
      <formula>F2="P2"</formula>
    </cfRule>
  </conditionalFormatting>
  <dataValidations count="1">
    <dataValidation type="list" allowBlank="1" sqref="F2:F250" xr:uid="{00000000-0002-0000-0100-000000000000}">
      <formula1>"P0,P1,P2"</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workbookViewId="0"/>
  </sheetViews>
  <sheetFormatPr defaultColWidth="12.6640625" defaultRowHeight="15" customHeight="1"/>
  <cols>
    <col min="1" max="5" width="18" customWidth="1"/>
    <col min="6" max="26" width="8.6640625" customWidth="1"/>
  </cols>
  <sheetData>
    <row r="1" spans="1:5" ht="21" customHeight="1">
      <c r="A1" s="1" t="s">
        <v>1779</v>
      </c>
      <c r="B1" s="1" t="s">
        <v>1780</v>
      </c>
      <c r="C1" s="1"/>
      <c r="D1" s="1"/>
      <c r="E1" s="1"/>
    </row>
    <row r="2" spans="1:5" ht="13.5" customHeight="1">
      <c r="A2" s="2" t="s">
        <v>1781</v>
      </c>
      <c r="B2" s="2">
        <v>249</v>
      </c>
      <c r="C2" s="2"/>
      <c r="D2" s="2"/>
      <c r="E2" s="2"/>
    </row>
    <row r="3" spans="1:5" ht="13.5" customHeight="1">
      <c r="A3" s="2" t="s">
        <v>1782</v>
      </c>
      <c r="B3" s="2">
        <v>76</v>
      </c>
      <c r="C3" s="2"/>
      <c r="D3" s="2"/>
      <c r="E3" s="2"/>
    </row>
    <row r="4" spans="1:5" ht="13.5" customHeight="1">
      <c r="A4" s="2" t="s">
        <v>1783</v>
      </c>
      <c r="B4" s="2">
        <v>26</v>
      </c>
      <c r="C4" s="2"/>
      <c r="D4" s="2"/>
      <c r="E4" s="2"/>
    </row>
    <row r="5" spans="1:5" ht="13.5" customHeight="1">
      <c r="A5" s="2" t="s">
        <v>1784</v>
      </c>
      <c r="B5" s="2">
        <v>147</v>
      </c>
      <c r="C5" s="2"/>
      <c r="D5" s="2"/>
      <c r="E5" s="2"/>
    </row>
    <row r="6" spans="1:5" ht="13.5" customHeight="1">
      <c r="A6" s="2" t="s">
        <v>1785</v>
      </c>
      <c r="B6" s="2">
        <v>34</v>
      </c>
      <c r="C6" s="2"/>
      <c r="D6" s="2"/>
      <c r="E6" s="2"/>
    </row>
    <row r="7" spans="1:5" ht="13.5" customHeight="1">
      <c r="A7" s="2" t="s">
        <v>1786</v>
      </c>
      <c r="B7" s="2" t="s">
        <v>1787</v>
      </c>
      <c r="C7" s="2"/>
      <c r="D7" s="2"/>
      <c r="E7" s="2"/>
    </row>
    <row r="8" spans="1:5" ht="13.5" customHeight="1">
      <c r="A8" s="2" t="s">
        <v>1788</v>
      </c>
      <c r="B8" s="2" t="s">
        <v>1789</v>
      </c>
      <c r="C8" s="2"/>
      <c r="D8" s="2"/>
      <c r="E8" s="2"/>
    </row>
    <row r="9" spans="1:5" ht="13.5" customHeight="1">
      <c r="A9" s="6"/>
      <c r="B9" s="6"/>
      <c r="C9" s="6"/>
      <c r="D9" s="6"/>
      <c r="E9" s="6"/>
    </row>
    <row r="10" spans="1:5" ht="13.5" customHeight="1">
      <c r="A10" s="2" t="s">
        <v>21</v>
      </c>
      <c r="B10" s="2" t="s">
        <v>57</v>
      </c>
      <c r="C10" s="2" t="s">
        <v>699</v>
      </c>
      <c r="D10" s="2" t="s">
        <v>358</v>
      </c>
      <c r="E10" s="2" t="s">
        <v>1790</v>
      </c>
    </row>
    <row r="11" spans="1:5" ht="13.5" customHeight="1">
      <c r="A11" s="2" t="s">
        <v>1592</v>
      </c>
      <c r="B11" s="2">
        <v>0</v>
      </c>
      <c r="C11" s="2">
        <v>0</v>
      </c>
      <c r="D11" s="2">
        <v>3</v>
      </c>
      <c r="E11" s="2">
        <v>3</v>
      </c>
    </row>
    <row r="12" spans="1:5" ht="13.5" customHeight="1">
      <c r="A12" s="2" t="s">
        <v>1420</v>
      </c>
      <c r="B12" s="2">
        <v>0</v>
      </c>
      <c r="C12" s="2">
        <v>0</v>
      </c>
      <c r="D12" s="2">
        <v>8</v>
      </c>
      <c r="E12" s="2">
        <v>8</v>
      </c>
    </row>
    <row r="13" spans="1:5" ht="13.5" customHeight="1">
      <c r="A13" s="2" t="s">
        <v>598</v>
      </c>
      <c r="B13" s="2">
        <v>0</v>
      </c>
      <c r="C13" s="2">
        <v>0</v>
      </c>
      <c r="D13" s="2">
        <v>3</v>
      </c>
      <c r="E13" s="2">
        <v>3</v>
      </c>
    </row>
    <row r="14" spans="1:5" ht="13.5" customHeight="1">
      <c r="A14" s="2" t="s">
        <v>356</v>
      </c>
      <c r="B14" s="2">
        <v>0</v>
      </c>
      <c r="C14" s="2">
        <v>0</v>
      </c>
      <c r="D14" s="2">
        <v>4</v>
      </c>
      <c r="E14" s="2">
        <v>4</v>
      </c>
    </row>
    <row r="15" spans="1:5" ht="13.5" customHeight="1">
      <c r="A15" s="2" t="s">
        <v>1460</v>
      </c>
      <c r="B15" s="2">
        <v>0</v>
      </c>
      <c r="C15" s="2">
        <v>0</v>
      </c>
      <c r="D15" s="2">
        <v>9</v>
      </c>
      <c r="E15" s="2">
        <v>9</v>
      </c>
    </row>
    <row r="16" spans="1:5" ht="13.5" customHeight="1">
      <c r="A16" s="2" t="s">
        <v>1609</v>
      </c>
      <c r="B16" s="2">
        <v>0</v>
      </c>
      <c r="C16" s="2">
        <v>0</v>
      </c>
      <c r="D16" s="2">
        <v>2</v>
      </c>
      <c r="E16" s="2">
        <v>2</v>
      </c>
    </row>
    <row r="17" spans="1:5" ht="13.5" customHeight="1">
      <c r="A17" s="2" t="s">
        <v>698</v>
      </c>
      <c r="B17" s="2">
        <v>0</v>
      </c>
      <c r="C17" s="2">
        <v>0</v>
      </c>
      <c r="D17" s="2">
        <v>2</v>
      </c>
      <c r="E17" s="2">
        <v>2</v>
      </c>
    </row>
    <row r="18" spans="1:5" ht="13.5" customHeight="1">
      <c r="A18" s="2" t="s">
        <v>1504</v>
      </c>
      <c r="B18" s="2">
        <v>0</v>
      </c>
      <c r="C18" s="2">
        <v>0</v>
      </c>
      <c r="D18" s="2">
        <v>7</v>
      </c>
      <c r="E18" s="2">
        <v>7</v>
      </c>
    </row>
    <row r="19" spans="1:5" ht="13.5" customHeight="1">
      <c r="A19" s="2" t="s">
        <v>1540</v>
      </c>
      <c r="B19" s="2">
        <v>0</v>
      </c>
      <c r="C19" s="2">
        <v>0</v>
      </c>
      <c r="D19" s="2">
        <v>5</v>
      </c>
      <c r="E19" s="2">
        <v>5</v>
      </c>
    </row>
    <row r="20" spans="1:5" ht="13.5" customHeight="1">
      <c r="A20" s="2" t="s">
        <v>1568</v>
      </c>
      <c r="B20" s="2">
        <v>0</v>
      </c>
      <c r="C20" s="2">
        <v>0</v>
      </c>
      <c r="D20" s="2">
        <v>4</v>
      </c>
      <c r="E20" s="2">
        <v>4</v>
      </c>
    </row>
    <row r="21" spans="1:5" ht="13.5" customHeight="1">
      <c r="A21" s="2" t="s">
        <v>1223</v>
      </c>
      <c r="B21" s="2">
        <v>0</v>
      </c>
      <c r="C21" s="2">
        <v>0</v>
      </c>
      <c r="D21" s="2">
        <v>7</v>
      </c>
      <c r="E21" s="2">
        <v>7</v>
      </c>
    </row>
    <row r="22" spans="1:5" ht="13.5" customHeight="1">
      <c r="A22" s="2" t="s">
        <v>994</v>
      </c>
      <c r="B22" s="2">
        <v>0</v>
      </c>
      <c r="C22" s="2">
        <v>0</v>
      </c>
      <c r="D22" s="2">
        <v>11</v>
      </c>
      <c r="E22" s="2">
        <v>11</v>
      </c>
    </row>
    <row r="23" spans="1:5" ht="13.5" customHeight="1">
      <c r="A23" s="2" t="s">
        <v>55</v>
      </c>
      <c r="B23" s="2">
        <v>9</v>
      </c>
      <c r="C23" s="2">
        <v>0</v>
      </c>
      <c r="D23" s="2">
        <v>0</v>
      </c>
      <c r="E23" s="2">
        <v>9</v>
      </c>
    </row>
    <row r="24" spans="1:5" ht="13.5" customHeight="1">
      <c r="A24" s="2" t="s">
        <v>388</v>
      </c>
      <c r="B24" s="2">
        <v>0</v>
      </c>
      <c r="C24" s="2">
        <v>0</v>
      </c>
      <c r="D24" s="2">
        <v>24</v>
      </c>
      <c r="E24" s="2">
        <v>24</v>
      </c>
    </row>
    <row r="25" spans="1:5" ht="13.5" customHeight="1">
      <c r="A25" s="2" t="s">
        <v>859</v>
      </c>
      <c r="B25" s="2">
        <v>8</v>
      </c>
      <c r="C25" s="2">
        <v>6</v>
      </c>
      <c r="D25" s="2">
        <v>4</v>
      </c>
      <c r="E25" s="2">
        <v>18</v>
      </c>
    </row>
    <row r="26" spans="1:5" ht="13.5" customHeight="1">
      <c r="A26" s="2" t="s">
        <v>182</v>
      </c>
      <c r="B26" s="2">
        <v>25</v>
      </c>
      <c r="C26" s="2">
        <v>0</v>
      </c>
      <c r="D26" s="2">
        <v>0</v>
      </c>
      <c r="E26" s="2">
        <v>25</v>
      </c>
    </row>
    <row r="27" spans="1:5" ht="13.5" customHeight="1">
      <c r="A27" s="2" t="s">
        <v>1664</v>
      </c>
      <c r="B27" s="2">
        <v>0</v>
      </c>
      <c r="C27" s="2">
        <v>0</v>
      </c>
      <c r="D27" s="2">
        <v>2</v>
      </c>
      <c r="E27" s="2">
        <v>2</v>
      </c>
    </row>
    <row r="28" spans="1:5" ht="13.5" customHeight="1">
      <c r="A28" s="2" t="s">
        <v>543</v>
      </c>
      <c r="B28" s="2">
        <v>16</v>
      </c>
      <c r="C28" s="2">
        <v>0</v>
      </c>
      <c r="D28" s="2">
        <v>0</v>
      </c>
      <c r="E28" s="2">
        <v>16</v>
      </c>
    </row>
    <row r="29" spans="1:5" ht="13.5" customHeight="1">
      <c r="A29" s="2" t="s">
        <v>1061</v>
      </c>
      <c r="B29" s="2">
        <v>14</v>
      </c>
      <c r="C29" s="2">
        <v>0</v>
      </c>
      <c r="D29" s="2">
        <v>0</v>
      </c>
      <c r="E29" s="2">
        <v>14</v>
      </c>
    </row>
    <row r="30" spans="1:5" ht="13.5" customHeight="1">
      <c r="A30" s="2" t="s">
        <v>697</v>
      </c>
      <c r="B30" s="2">
        <v>4</v>
      </c>
      <c r="C30" s="2">
        <v>20</v>
      </c>
      <c r="D30" s="2">
        <v>0</v>
      </c>
      <c r="E30" s="2">
        <v>24</v>
      </c>
    </row>
    <row r="31" spans="1:5" ht="13.5" customHeight="1">
      <c r="A31" s="2" t="s">
        <v>1677</v>
      </c>
      <c r="B31" s="2">
        <v>0</v>
      </c>
      <c r="C31" s="2">
        <v>0</v>
      </c>
      <c r="D31" s="2">
        <v>3</v>
      </c>
      <c r="E31" s="2">
        <v>3</v>
      </c>
    </row>
    <row r="32" spans="1:5" ht="13.5" customHeight="1">
      <c r="A32" s="2" t="s">
        <v>1694</v>
      </c>
      <c r="B32" s="2">
        <v>0</v>
      </c>
      <c r="C32" s="2">
        <v>0</v>
      </c>
      <c r="D32" s="2">
        <v>7</v>
      </c>
      <c r="E32" s="2">
        <v>7</v>
      </c>
    </row>
    <row r="33" spans="1:5" ht="13.5" customHeight="1">
      <c r="A33" s="2" t="s">
        <v>1746</v>
      </c>
      <c r="B33" s="2">
        <v>0</v>
      </c>
      <c r="C33" s="2">
        <v>0</v>
      </c>
      <c r="D33" s="2">
        <v>3</v>
      </c>
      <c r="E33" s="2">
        <v>3</v>
      </c>
    </row>
    <row r="34" spans="1:5" ht="13.5" customHeight="1">
      <c r="A34" s="2" t="s">
        <v>1763</v>
      </c>
      <c r="B34" s="2">
        <v>0</v>
      </c>
      <c r="C34" s="2">
        <v>0</v>
      </c>
      <c r="D34" s="2">
        <v>3</v>
      </c>
      <c r="E34" s="2">
        <v>3</v>
      </c>
    </row>
    <row r="35" spans="1:5" ht="13.5" customHeight="1"/>
    <row r="36" spans="1:5" ht="13.5" customHeight="1"/>
    <row r="37" spans="1:5" ht="13.5" customHeight="1"/>
    <row r="38" spans="1:5" ht="13.5" customHeight="1"/>
    <row r="39" spans="1:5" ht="13.5" customHeight="1"/>
    <row r="40" spans="1:5" ht="13.5" customHeight="1"/>
    <row r="41" spans="1:5" ht="13.5" customHeight="1"/>
    <row r="42" spans="1:5" ht="13.5" customHeight="1"/>
    <row r="43" spans="1:5" ht="13.5" customHeight="1"/>
    <row r="44" spans="1:5" ht="13.5" customHeight="1"/>
    <row r="45" spans="1:5" ht="13.5" customHeight="1"/>
    <row r="46" spans="1:5" ht="13.5" customHeight="1"/>
    <row r="47" spans="1:5" ht="13.5" customHeight="1"/>
    <row r="48" spans="1:5"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sheetViews>
  <sheetFormatPr defaultColWidth="12.6640625" defaultRowHeight="15" customHeight="1"/>
  <cols>
    <col min="1" max="1" width="24" customWidth="1"/>
    <col min="2" max="4" width="18" customWidth="1"/>
    <col min="5" max="5" width="57.75" customWidth="1"/>
    <col min="6" max="26" width="8.6640625" customWidth="1"/>
  </cols>
  <sheetData>
    <row r="1" spans="1:5" ht="13.5" customHeight="1">
      <c r="A1" s="1" t="s">
        <v>21</v>
      </c>
      <c r="B1" s="1" t="s">
        <v>1791</v>
      </c>
      <c r="C1" s="1" t="s">
        <v>1792</v>
      </c>
      <c r="D1" s="1" t="s">
        <v>1793</v>
      </c>
      <c r="E1" s="1" t="s">
        <v>1794</v>
      </c>
    </row>
    <row r="2" spans="1:5" ht="13.5" customHeight="1">
      <c r="A2" s="2" t="s">
        <v>1061</v>
      </c>
      <c r="B2" s="2" t="s">
        <v>1795</v>
      </c>
      <c r="C2" s="2" t="s">
        <v>57</v>
      </c>
      <c r="D2" s="2" t="s">
        <v>1796</v>
      </c>
      <c r="E2" s="2" t="s">
        <v>1797</v>
      </c>
    </row>
    <row r="3" spans="1:5" ht="13.5" customHeight="1">
      <c r="A3" s="2" t="s">
        <v>1061</v>
      </c>
      <c r="B3" s="2" t="s">
        <v>1798</v>
      </c>
      <c r="C3" s="2" t="s">
        <v>57</v>
      </c>
      <c r="D3" s="2" t="s">
        <v>1796</v>
      </c>
      <c r="E3" s="2" t="s">
        <v>1799</v>
      </c>
    </row>
    <row r="4" spans="1:5" ht="13.5" customHeight="1">
      <c r="A4" s="2" t="s">
        <v>1061</v>
      </c>
      <c r="B4" s="2" t="s">
        <v>1800</v>
      </c>
      <c r="C4" s="2" t="s">
        <v>57</v>
      </c>
      <c r="D4" s="2" t="s">
        <v>1796</v>
      </c>
      <c r="E4" s="2" t="s">
        <v>1801</v>
      </c>
    </row>
    <row r="5" spans="1:5" ht="13.5" customHeight="1">
      <c r="A5" s="2" t="s">
        <v>1061</v>
      </c>
      <c r="B5" s="2" t="s">
        <v>1802</v>
      </c>
      <c r="C5" s="2" t="s">
        <v>57</v>
      </c>
      <c r="D5" s="2" t="s">
        <v>1796</v>
      </c>
      <c r="E5" s="2" t="s">
        <v>1803</v>
      </c>
    </row>
    <row r="6" spans="1:5" ht="13.5" customHeight="1">
      <c r="A6" s="2" t="s">
        <v>1061</v>
      </c>
      <c r="B6" s="2" t="s">
        <v>1804</v>
      </c>
      <c r="C6" s="2" t="s">
        <v>57</v>
      </c>
      <c r="D6" s="2" t="s">
        <v>1796</v>
      </c>
      <c r="E6" s="2" t="s">
        <v>1805</v>
      </c>
    </row>
    <row r="7" spans="1:5" ht="13.5" customHeight="1">
      <c r="A7" s="2" t="s">
        <v>55</v>
      </c>
      <c r="B7" s="2" t="s">
        <v>59</v>
      </c>
      <c r="C7" s="2" t="s">
        <v>57</v>
      </c>
      <c r="D7" s="2" t="s">
        <v>1796</v>
      </c>
      <c r="E7" s="2" t="s">
        <v>1806</v>
      </c>
    </row>
    <row r="8" spans="1:5" ht="13.5" customHeight="1">
      <c r="A8" s="2" t="s">
        <v>55</v>
      </c>
      <c r="B8" s="2" t="s">
        <v>111</v>
      </c>
      <c r="C8" s="2" t="s">
        <v>57</v>
      </c>
      <c r="D8" s="2" t="s">
        <v>1796</v>
      </c>
      <c r="E8" s="2" t="s">
        <v>1807</v>
      </c>
    </row>
    <row r="9" spans="1:5" ht="13.5" customHeight="1">
      <c r="A9" s="2" t="s">
        <v>55</v>
      </c>
      <c r="B9" s="2" t="s">
        <v>161</v>
      </c>
      <c r="C9" s="2" t="s">
        <v>57</v>
      </c>
      <c r="D9" s="2" t="s">
        <v>1796</v>
      </c>
      <c r="E9" s="2" t="s">
        <v>1808</v>
      </c>
    </row>
    <row r="10" spans="1:5" ht="13.5" customHeight="1">
      <c r="A10" s="2" t="s">
        <v>182</v>
      </c>
      <c r="B10" s="2" t="s">
        <v>1809</v>
      </c>
      <c r="C10" s="2" t="s">
        <v>57</v>
      </c>
      <c r="D10" s="2" t="s">
        <v>1796</v>
      </c>
      <c r="E10" s="2" t="s">
        <v>1810</v>
      </c>
    </row>
    <row r="11" spans="1:5" ht="13.5" customHeight="1">
      <c r="A11" s="2" t="s">
        <v>182</v>
      </c>
      <c r="B11" s="2" t="s">
        <v>1811</v>
      </c>
      <c r="C11" s="2" t="s">
        <v>57</v>
      </c>
      <c r="D11" s="2" t="s">
        <v>1796</v>
      </c>
      <c r="E11" s="2" t="s">
        <v>1812</v>
      </c>
    </row>
    <row r="12" spans="1:5" ht="13.5" customHeight="1">
      <c r="A12" s="2" t="s">
        <v>182</v>
      </c>
      <c r="B12" s="2" t="s">
        <v>323</v>
      </c>
      <c r="C12" s="2" t="s">
        <v>57</v>
      </c>
      <c r="D12" s="2" t="s">
        <v>1796</v>
      </c>
      <c r="E12" s="2" t="s">
        <v>1813</v>
      </c>
    </row>
    <row r="13" spans="1:5" ht="13.5" customHeight="1">
      <c r="A13" s="2" t="s">
        <v>543</v>
      </c>
      <c r="B13" s="2" t="s">
        <v>544</v>
      </c>
      <c r="C13" s="2" t="s">
        <v>57</v>
      </c>
      <c r="D13" s="2" t="s">
        <v>1796</v>
      </c>
      <c r="E13" s="2" t="s">
        <v>1814</v>
      </c>
    </row>
    <row r="14" spans="1:5" ht="13.5" customHeight="1">
      <c r="A14" s="2" t="s">
        <v>543</v>
      </c>
      <c r="B14" s="2" t="s">
        <v>598</v>
      </c>
      <c r="C14" s="2" t="s">
        <v>57</v>
      </c>
      <c r="D14" s="2" t="s">
        <v>1796</v>
      </c>
      <c r="E14" s="2" t="s">
        <v>1815</v>
      </c>
    </row>
    <row r="15" spans="1:5" ht="13.5" customHeight="1">
      <c r="A15" s="2" t="s">
        <v>543</v>
      </c>
      <c r="B15" s="2" t="s">
        <v>1816</v>
      </c>
      <c r="C15" s="2" t="s">
        <v>57</v>
      </c>
      <c r="D15" s="2" t="s">
        <v>1796</v>
      </c>
      <c r="E15" s="2" t="s">
        <v>1817</v>
      </c>
    </row>
    <row r="16" spans="1:5" ht="13.5" customHeight="1">
      <c r="A16" s="2" t="s">
        <v>543</v>
      </c>
      <c r="B16" s="2" t="s">
        <v>669</v>
      </c>
      <c r="C16" s="2" t="s">
        <v>57</v>
      </c>
      <c r="D16" s="2" t="s">
        <v>1796</v>
      </c>
      <c r="E16" s="2" t="s">
        <v>1818</v>
      </c>
    </row>
    <row r="17" spans="1:5" ht="13.5" customHeight="1">
      <c r="A17" s="2" t="s">
        <v>697</v>
      </c>
      <c r="B17" s="2" t="s">
        <v>742</v>
      </c>
      <c r="C17" s="2" t="s">
        <v>57</v>
      </c>
      <c r="D17" s="2" t="s">
        <v>1796</v>
      </c>
      <c r="E17" s="2" t="s">
        <v>1819</v>
      </c>
    </row>
    <row r="18" spans="1:5" ht="13.5" customHeight="1">
      <c r="A18" s="2" t="s">
        <v>859</v>
      </c>
      <c r="B18" s="2" t="s">
        <v>935</v>
      </c>
      <c r="C18" s="2" t="s">
        <v>57</v>
      </c>
      <c r="D18" s="2" t="s">
        <v>1796</v>
      </c>
      <c r="E18" s="2" t="s">
        <v>1820</v>
      </c>
    </row>
    <row r="19" spans="1:5" ht="13.5" customHeight="1">
      <c r="A19" s="2" t="s">
        <v>697</v>
      </c>
      <c r="B19" s="2" t="s">
        <v>1821</v>
      </c>
      <c r="C19" s="2" t="s">
        <v>699</v>
      </c>
      <c r="D19" s="2" t="s">
        <v>1822</v>
      </c>
      <c r="E19" s="2" t="s">
        <v>1823</v>
      </c>
    </row>
    <row r="20" spans="1:5" ht="13.5" customHeight="1">
      <c r="A20" s="2" t="s">
        <v>859</v>
      </c>
      <c r="B20" s="2" t="s">
        <v>1821</v>
      </c>
      <c r="C20" s="2" t="s">
        <v>1824</v>
      </c>
      <c r="D20" s="2" t="s">
        <v>1825</v>
      </c>
      <c r="E20" s="2" t="s">
        <v>1826</v>
      </c>
    </row>
    <row r="21" spans="1:5" ht="13.5" customHeight="1">
      <c r="A21" s="2" t="s">
        <v>1827</v>
      </c>
      <c r="B21" s="2" t="s">
        <v>1828</v>
      </c>
      <c r="C21" s="2" t="s">
        <v>358</v>
      </c>
      <c r="D21" s="2" t="s">
        <v>1829</v>
      </c>
      <c r="E21" s="2" t="s">
        <v>1830</v>
      </c>
    </row>
    <row r="22" spans="1:5" ht="13.5" customHeight="1"/>
    <row r="23" spans="1:5" ht="13.5" customHeight="1"/>
    <row r="24" spans="1:5" ht="13.5" customHeight="1"/>
    <row r="25" spans="1:5" ht="13.5" customHeight="1"/>
    <row r="26" spans="1:5" ht="13.5" customHeight="1"/>
    <row r="27" spans="1:5" ht="13.5" customHeight="1"/>
    <row r="28" spans="1:5" ht="13.5" customHeight="1"/>
    <row r="29" spans="1:5" ht="13.5" customHeight="1"/>
    <row r="30" spans="1:5" ht="13.5" customHeight="1"/>
    <row r="31" spans="1:5" ht="13.5" customHeight="1"/>
    <row r="32" spans="1:5"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abSelected="1" workbookViewId="0">
      <selection activeCell="B19" sqref="B19"/>
    </sheetView>
  </sheetViews>
  <sheetFormatPr defaultColWidth="12.6640625" defaultRowHeight="15" customHeight="1"/>
  <cols>
    <col min="1" max="1" width="12" customWidth="1"/>
    <col min="2" max="2" width="22.1640625" customWidth="1"/>
    <col min="3" max="3" width="15.6640625" customWidth="1"/>
    <col min="4" max="4" width="14.6640625" customWidth="1"/>
    <col min="5" max="5" width="12.1640625" customWidth="1"/>
    <col min="6" max="6" width="11.4140625" customWidth="1"/>
    <col min="7" max="7" width="10.4140625" customWidth="1"/>
    <col min="8" max="8" width="71.9140625" customWidth="1"/>
    <col min="9" max="9" width="34.4140625" customWidth="1"/>
    <col min="10" max="10" width="28.1640625" customWidth="1"/>
    <col min="11" max="11" width="29.5" customWidth="1"/>
    <col min="12" max="12" width="13.1640625" customWidth="1"/>
    <col min="13" max="13" width="19.1640625" customWidth="1"/>
    <col min="14" max="15" width="13.1640625" customWidth="1"/>
    <col min="16" max="16" width="21.1640625" customWidth="1"/>
    <col min="17" max="26" width="8.6640625" customWidth="1"/>
  </cols>
  <sheetData>
    <row r="1" spans="1:26" ht="23.25" customHeight="1">
      <c r="A1" s="7" t="s">
        <v>1831</v>
      </c>
      <c r="B1" s="7" t="s">
        <v>1832</v>
      </c>
      <c r="C1" s="7" t="s">
        <v>1833</v>
      </c>
      <c r="D1" s="7" t="s">
        <v>1834</v>
      </c>
      <c r="E1" s="7" t="s">
        <v>21</v>
      </c>
      <c r="F1" s="7" t="s">
        <v>1835</v>
      </c>
      <c r="G1" s="7" t="s">
        <v>1792</v>
      </c>
      <c r="H1" s="7" t="s">
        <v>1836</v>
      </c>
      <c r="I1" s="7" t="s">
        <v>1837</v>
      </c>
      <c r="J1" s="7" t="s">
        <v>1838</v>
      </c>
      <c r="K1" s="7" t="s">
        <v>1839</v>
      </c>
      <c r="L1" s="7" t="s">
        <v>1840</v>
      </c>
      <c r="M1" s="7" t="s">
        <v>1841</v>
      </c>
      <c r="N1" s="7" t="s">
        <v>1842</v>
      </c>
      <c r="O1" s="7" t="s">
        <v>1843</v>
      </c>
      <c r="P1" s="7" t="s">
        <v>1844</v>
      </c>
      <c r="Q1" s="8"/>
      <c r="R1" s="8"/>
      <c r="S1" s="8"/>
      <c r="T1" s="8"/>
      <c r="U1" s="8"/>
      <c r="V1" s="8"/>
      <c r="W1" s="8"/>
      <c r="X1" s="8"/>
      <c r="Y1" s="8"/>
      <c r="Z1" s="8"/>
    </row>
    <row r="2" spans="1:26" ht="13.5" customHeight="1">
      <c r="A2" s="9" t="s">
        <v>1845</v>
      </c>
      <c r="B2" s="9" t="s">
        <v>1846</v>
      </c>
      <c r="C2" s="9" t="s">
        <v>1847</v>
      </c>
      <c r="D2" s="9" t="s">
        <v>1848</v>
      </c>
      <c r="E2" s="9" t="s">
        <v>1061</v>
      </c>
      <c r="F2" s="9" t="s">
        <v>1795</v>
      </c>
      <c r="G2" s="9" t="s">
        <v>1849</v>
      </c>
      <c r="H2" s="9" t="s">
        <v>1070</v>
      </c>
      <c r="I2" s="9" t="s">
        <v>68</v>
      </c>
      <c r="J2" s="9" t="s">
        <v>1850</v>
      </c>
      <c r="K2" s="9" t="s">
        <v>1851</v>
      </c>
      <c r="L2" s="9" t="s">
        <v>57</v>
      </c>
      <c r="M2" s="9" t="s">
        <v>1852</v>
      </c>
      <c r="N2" s="9" t="s">
        <v>1853</v>
      </c>
      <c r="O2" s="9"/>
      <c r="P2" s="9"/>
      <c r="Q2" s="10"/>
      <c r="R2" s="10"/>
      <c r="S2" s="10"/>
      <c r="T2" s="10"/>
      <c r="U2" s="10"/>
      <c r="V2" s="10"/>
      <c r="W2" s="10"/>
      <c r="X2" s="10"/>
      <c r="Y2" s="10"/>
      <c r="Z2" s="10"/>
    </row>
    <row r="3" spans="1:26" ht="13.5" customHeight="1">
      <c r="A3" s="9" t="s">
        <v>1845</v>
      </c>
      <c r="B3" s="9" t="s">
        <v>1846</v>
      </c>
      <c r="C3" s="9" t="s">
        <v>1847</v>
      </c>
      <c r="D3" s="9" t="s">
        <v>1848</v>
      </c>
      <c r="E3" s="9" t="s">
        <v>1061</v>
      </c>
      <c r="F3" s="9" t="s">
        <v>1798</v>
      </c>
      <c r="G3" s="9" t="s">
        <v>1849</v>
      </c>
      <c r="H3" s="9" t="s">
        <v>1116</v>
      </c>
      <c r="I3" s="9" t="s">
        <v>68</v>
      </c>
      <c r="J3" s="9" t="s">
        <v>1850</v>
      </c>
      <c r="K3" s="9" t="s">
        <v>1851</v>
      </c>
      <c r="L3" s="9" t="s">
        <v>57</v>
      </c>
      <c r="M3" s="9" t="s">
        <v>1852</v>
      </c>
      <c r="N3" s="9" t="s">
        <v>1853</v>
      </c>
      <c r="O3" s="9"/>
      <c r="P3" s="9"/>
      <c r="Q3" s="10"/>
      <c r="R3" s="10"/>
      <c r="S3" s="10"/>
      <c r="T3" s="10"/>
      <c r="U3" s="10"/>
      <c r="V3" s="10"/>
      <c r="W3" s="10"/>
      <c r="X3" s="10"/>
      <c r="Y3" s="10"/>
      <c r="Z3" s="10"/>
    </row>
    <row r="4" spans="1:26" ht="13.5" customHeight="1">
      <c r="A4" s="9" t="s">
        <v>1845</v>
      </c>
      <c r="B4" s="9" t="s">
        <v>1846</v>
      </c>
      <c r="C4" s="9" t="s">
        <v>1847</v>
      </c>
      <c r="D4" s="9" t="s">
        <v>1848</v>
      </c>
      <c r="E4" s="9" t="s">
        <v>1061</v>
      </c>
      <c r="F4" s="9" t="s">
        <v>1800</v>
      </c>
      <c r="G4" s="9" t="s">
        <v>1849</v>
      </c>
      <c r="H4" s="9" t="s">
        <v>1151</v>
      </c>
      <c r="I4" s="9" t="s">
        <v>68</v>
      </c>
      <c r="J4" s="9" t="s">
        <v>1850</v>
      </c>
      <c r="K4" s="9" t="s">
        <v>1851</v>
      </c>
      <c r="L4" s="9" t="s">
        <v>57</v>
      </c>
      <c r="M4" s="9" t="s">
        <v>1852</v>
      </c>
      <c r="N4" s="9" t="s">
        <v>1853</v>
      </c>
      <c r="O4" s="9"/>
      <c r="P4" s="9"/>
      <c r="Q4" s="10"/>
      <c r="R4" s="10"/>
      <c r="S4" s="10"/>
      <c r="T4" s="10"/>
      <c r="U4" s="10"/>
      <c r="V4" s="10"/>
      <c r="W4" s="10"/>
      <c r="X4" s="10"/>
      <c r="Y4" s="10"/>
      <c r="Z4" s="10"/>
    </row>
    <row r="5" spans="1:26" ht="13.5" customHeight="1">
      <c r="A5" s="9" t="s">
        <v>1845</v>
      </c>
      <c r="B5" s="9" t="s">
        <v>1846</v>
      </c>
      <c r="C5" s="9" t="s">
        <v>1847</v>
      </c>
      <c r="D5" s="9" t="s">
        <v>1848</v>
      </c>
      <c r="E5" s="9" t="s">
        <v>1061</v>
      </c>
      <c r="F5" s="9" t="s">
        <v>1802</v>
      </c>
      <c r="G5" s="9" t="s">
        <v>1849</v>
      </c>
      <c r="H5" s="9" t="s">
        <v>1173</v>
      </c>
      <c r="I5" s="9" t="s">
        <v>68</v>
      </c>
      <c r="J5" s="9" t="s">
        <v>1850</v>
      </c>
      <c r="K5" s="9" t="s">
        <v>1851</v>
      </c>
      <c r="L5" s="9" t="s">
        <v>57</v>
      </c>
      <c r="M5" s="9" t="s">
        <v>1854</v>
      </c>
      <c r="N5" s="9" t="s">
        <v>1853</v>
      </c>
      <c r="O5" s="9"/>
      <c r="P5" s="9"/>
      <c r="Q5" s="10"/>
      <c r="R5" s="10"/>
      <c r="S5" s="10"/>
      <c r="T5" s="10"/>
      <c r="U5" s="10"/>
      <c r="V5" s="10"/>
      <c r="W5" s="10"/>
      <c r="X5" s="10"/>
      <c r="Y5" s="10"/>
      <c r="Z5" s="10"/>
    </row>
    <row r="6" spans="1:26" ht="13.5" customHeight="1">
      <c r="A6" s="9" t="s">
        <v>1845</v>
      </c>
      <c r="B6" s="9" t="s">
        <v>1846</v>
      </c>
      <c r="C6" s="9" t="s">
        <v>1847</v>
      </c>
      <c r="D6" s="9" t="s">
        <v>1848</v>
      </c>
      <c r="E6" s="9" t="s">
        <v>1061</v>
      </c>
      <c r="F6" s="9" t="s">
        <v>1804</v>
      </c>
      <c r="G6" s="9" t="s">
        <v>1849</v>
      </c>
      <c r="H6" s="9" t="s">
        <v>1188</v>
      </c>
      <c r="I6" s="9" t="s">
        <v>68</v>
      </c>
      <c r="J6" s="9" t="s">
        <v>1850</v>
      </c>
      <c r="K6" s="9" t="s">
        <v>1851</v>
      </c>
      <c r="L6" s="9" t="s">
        <v>57</v>
      </c>
      <c r="M6" s="9" t="s">
        <v>1855</v>
      </c>
      <c r="N6" s="9" t="s">
        <v>1853</v>
      </c>
      <c r="O6" s="9"/>
      <c r="P6" s="9"/>
      <c r="Q6" s="10"/>
      <c r="R6" s="10"/>
      <c r="S6" s="10"/>
      <c r="T6" s="10"/>
      <c r="U6" s="10"/>
      <c r="V6" s="10"/>
      <c r="W6" s="10"/>
      <c r="X6" s="10"/>
      <c r="Y6" s="10"/>
      <c r="Z6" s="10"/>
    </row>
    <row r="7" spans="1:26" ht="13.5" customHeight="1">
      <c r="A7" s="9" t="s">
        <v>1845</v>
      </c>
      <c r="B7" s="9" t="s">
        <v>1846</v>
      </c>
      <c r="C7" s="9" t="s">
        <v>1847</v>
      </c>
      <c r="D7" s="9" t="s">
        <v>1848</v>
      </c>
      <c r="E7" s="9" t="s">
        <v>55</v>
      </c>
      <c r="F7" s="9" t="s">
        <v>59</v>
      </c>
      <c r="G7" s="9" t="s">
        <v>1849</v>
      </c>
      <c r="H7" s="9" t="s">
        <v>67</v>
      </c>
      <c r="I7" s="9" t="s">
        <v>68</v>
      </c>
      <c r="J7" s="9" t="s">
        <v>1856</v>
      </c>
      <c r="K7" s="9" t="s">
        <v>1851</v>
      </c>
      <c r="L7" s="9" t="s">
        <v>699</v>
      </c>
      <c r="M7" s="9" t="s">
        <v>1854</v>
      </c>
      <c r="N7" s="9" t="s">
        <v>1853</v>
      </c>
      <c r="O7" s="9"/>
      <c r="P7" s="9"/>
      <c r="Q7" s="10"/>
      <c r="R7" s="10"/>
      <c r="S7" s="10"/>
      <c r="T7" s="10"/>
      <c r="U7" s="10"/>
      <c r="V7" s="10"/>
      <c r="W7" s="10"/>
      <c r="X7" s="10"/>
      <c r="Y7" s="10"/>
      <c r="Z7" s="10"/>
    </row>
    <row r="8" spans="1:26" ht="13.5" customHeight="1">
      <c r="A8" s="9" t="s">
        <v>1845</v>
      </c>
      <c r="B8" s="9" t="s">
        <v>1846</v>
      </c>
      <c r="C8" s="9" t="s">
        <v>1847</v>
      </c>
      <c r="D8" s="9" t="s">
        <v>1848</v>
      </c>
      <c r="E8" s="9" t="s">
        <v>55</v>
      </c>
      <c r="F8" s="9" t="s">
        <v>111</v>
      </c>
      <c r="G8" s="9" t="s">
        <v>1849</v>
      </c>
      <c r="H8" s="9" t="s">
        <v>118</v>
      </c>
      <c r="I8" s="9" t="s">
        <v>68</v>
      </c>
      <c r="J8" s="9" t="s">
        <v>1856</v>
      </c>
      <c r="K8" s="9" t="s">
        <v>1851</v>
      </c>
      <c r="L8" s="9" t="s">
        <v>699</v>
      </c>
      <c r="M8" s="9" t="s">
        <v>1854</v>
      </c>
      <c r="N8" s="9" t="s">
        <v>1853</v>
      </c>
      <c r="O8" s="9"/>
      <c r="P8" s="9"/>
      <c r="Q8" s="10"/>
      <c r="R8" s="10"/>
      <c r="S8" s="10"/>
      <c r="T8" s="10"/>
      <c r="U8" s="10"/>
      <c r="V8" s="10"/>
      <c r="W8" s="10"/>
      <c r="X8" s="10"/>
      <c r="Y8" s="10"/>
      <c r="Z8" s="10"/>
    </row>
    <row r="9" spans="1:26" ht="13.5" customHeight="1">
      <c r="A9" s="9" t="s">
        <v>1845</v>
      </c>
      <c r="B9" s="9" t="s">
        <v>1846</v>
      </c>
      <c r="C9" s="9" t="s">
        <v>1847</v>
      </c>
      <c r="D9" s="9" t="s">
        <v>1848</v>
      </c>
      <c r="E9" s="9" t="s">
        <v>55</v>
      </c>
      <c r="F9" s="9" t="s">
        <v>161</v>
      </c>
      <c r="G9" s="9" t="s">
        <v>1849</v>
      </c>
      <c r="H9" s="9" t="s">
        <v>167</v>
      </c>
      <c r="I9" s="9" t="s">
        <v>68</v>
      </c>
      <c r="J9" s="9" t="s">
        <v>1856</v>
      </c>
      <c r="K9" s="9" t="s">
        <v>1851</v>
      </c>
      <c r="L9" s="9" t="s">
        <v>358</v>
      </c>
      <c r="M9" s="9" t="s">
        <v>1857</v>
      </c>
      <c r="N9" s="9" t="s">
        <v>1853</v>
      </c>
      <c r="O9" s="9"/>
      <c r="P9" s="9"/>
      <c r="Q9" s="10"/>
      <c r="R9" s="10"/>
      <c r="S9" s="10"/>
      <c r="T9" s="10"/>
      <c r="U9" s="10"/>
      <c r="V9" s="10"/>
      <c r="W9" s="10"/>
      <c r="X9" s="10"/>
      <c r="Y9" s="10"/>
      <c r="Z9" s="10"/>
    </row>
    <row r="10" spans="1:26" ht="13.5" customHeight="1">
      <c r="A10" s="9" t="s">
        <v>1845</v>
      </c>
      <c r="B10" s="9" t="s">
        <v>1846</v>
      </c>
      <c r="C10" s="9" t="s">
        <v>1847</v>
      </c>
      <c r="D10" s="9" t="s">
        <v>1848</v>
      </c>
      <c r="E10" s="9" t="s">
        <v>182</v>
      </c>
      <c r="F10" s="9" t="s">
        <v>1809</v>
      </c>
      <c r="G10" s="9" t="s">
        <v>1849</v>
      </c>
      <c r="H10" s="9" t="s">
        <v>191</v>
      </c>
      <c r="I10" s="9" t="s">
        <v>68</v>
      </c>
      <c r="J10" s="9" t="s">
        <v>1858</v>
      </c>
      <c r="K10" s="9" t="s">
        <v>1851</v>
      </c>
      <c r="L10" s="9" t="s">
        <v>699</v>
      </c>
      <c r="M10" s="9" t="s">
        <v>1859</v>
      </c>
      <c r="N10" s="9" t="s">
        <v>1853</v>
      </c>
      <c r="O10" s="9"/>
      <c r="P10" s="9"/>
      <c r="Q10" s="10"/>
      <c r="R10" s="10"/>
      <c r="S10" s="10"/>
      <c r="T10" s="10"/>
      <c r="U10" s="10"/>
      <c r="V10" s="10"/>
      <c r="W10" s="10"/>
      <c r="X10" s="10"/>
      <c r="Y10" s="10"/>
      <c r="Z10" s="10"/>
    </row>
    <row r="11" spans="1:26" ht="13.5" customHeight="1">
      <c r="A11" s="9" t="s">
        <v>1845</v>
      </c>
      <c r="B11" s="9" t="s">
        <v>1846</v>
      </c>
      <c r="C11" s="9" t="s">
        <v>1847</v>
      </c>
      <c r="D11" s="9" t="s">
        <v>1848</v>
      </c>
      <c r="E11" s="9" t="s">
        <v>182</v>
      </c>
      <c r="F11" s="9" t="s">
        <v>1811</v>
      </c>
      <c r="G11" s="9" t="s">
        <v>1849</v>
      </c>
      <c r="H11" s="9" t="s">
        <v>252</v>
      </c>
      <c r="I11" s="9" t="s">
        <v>68</v>
      </c>
      <c r="J11" s="9" t="s">
        <v>1858</v>
      </c>
      <c r="K11" s="9" t="s">
        <v>1851</v>
      </c>
      <c r="L11" s="9" t="s">
        <v>699</v>
      </c>
      <c r="M11" s="9" t="s">
        <v>1859</v>
      </c>
      <c r="N11" s="9" t="s">
        <v>1853</v>
      </c>
      <c r="O11" s="9"/>
      <c r="P11" s="9"/>
      <c r="Q11" s="10"/>
      <c r="R11" s="10"/>
      <c r="S11" s="10"/>
      <c r="T11" s="10"/>
      <c r="U11" s="10"/>
      <c r="V11" s="10"/>
      <c r="W11" s="10"/>
      <c r="X11" s="10"/>
      <c r="Y11" s="10"/>
      <c r="Z11" s="10"/>
    </row>
    <row r="12" spans="1:26" ht="13.5" customHeight="1">
      <c r="A12" s="9" t="s">
        <v>1845</v>
      </c>
      <c r="B12" s="9" t="s">
        <v>1846</v>
      </c>
      <c r="C12" s="9" t="s">
        <v>1847</v>
      </c>
      <c r="D12" s="9" t="s">
        <v>1848</v>
      </c>
      <c r="E12" s="9" t="s">
        <v>182</v>
      </c>
      <c r="F12" s="9" t="s">
        <v>323</v>
      </c>
      <c r="G12" s="9" t="s">
        <v>1849</v>
      </c>
      <c r="H12" s="9" t="s">
        <v>331</v>
      </c>
      <c r="I12" s="9" t="s">
        <v>68</v>
      </c>
      <c r="J12" s="9" t="s">
        <v>1858</v>
      </c>
      <c r="K12" s="9" t="s">
        <v>1851</v>
      </c>
      <c r="L12" s="9" t="s">
        <v>358</v>
      </c>
      <c r="M12" s="9" t="s">
        <v>1854</v>
      </c>
      <c r="N12" s="9" t="s">
        <v>1853</v>
      </c>
      <c r="O12" s="9"/>
      <c r="P12" s="9"/>
      <c r="Q12" s="10"/>
      <c r="R12" s="10"/>
      <c r="S12" s="10"/>
      <c r="T12" s="10"/>
      <c r="U12" s="10"/>
      <c r="V12" s="10"/>
      <c r="W12" s="10"/>
      <c r="X12" s="10"/>
      <c r="Y12" s="10"/>
      <c r="Z12" s="10"/>
    </row>
    <row r="13" spans="1:26" ht="13.5" customHeight="1">
      <c r="A13" s="9" t="s">
        <v>1845</v>
      </c>
      <c r="B13" s="9" t="s">
        <v>1846</v>
      </c>
      <c r="C13" s="9" t="s">
        <v>1847</v>
      </c>
      <c r="D13" s="9" t="s">
        <v>1848</v>
      </c>
      <c r="E13" s="9" t="s">
        <v>543</v>
      </c>
      <c r="F13" s="9" t="s">
        <v>544</v>
      </c>
      <c r="G13" s="9" t="s">
        <v>1849</v>
      </c>
      <c r="H13" s="9" t="s">
        <v>553</v>
      </c>
      <c r="I13" s="9" t="s">
        <v>68</v>
      </c>
      <c r="J13" s="9" t="s">
        <v>1860</v>
      </c>
      <c r="K13" s="9" t="s">
        <v>1851</v>
      </c>
      <c r="L13" s="9" t="s">
        <v>358</v>
      </c>
      <c r="M13" s="9" t="s">
        <v>1861</v>
      </c>
      <c r="N13" s="9" t="s">
        <v>1853</v>
      </c>
      <c r="O13" s="9"/>
      <c r="P13" s="9"/>
      <c r="Q13" s="10"/>
      <c r="R13" s="10"/>
      <c r="S13" s="10"/>
      <c r="T13" s="10"/>
      <c r="U13" s="10"/>
      <c r="V13" s="10"/>
      <c r="W13" s="10"/>
      <c r="X13" s="10"/>
      <c r="Y13" s="10"/>
      <c r="Z13" s="10"/>
    </row>
    <row r="14" spans="1:26" ht="13.5" customHeight="1">
      <c r="A14" s="9" t="s">
        <v>1845</v>
      </c>
      <c r="B14" s="9" t="s">
        <v>1846</v>
      </c>
      <c r="C14" s="9" t="s">
        <v>1847</v>
      </c>
      <c r="D14" s="9" t="s">
        <v>1848</v>
      </c>
      <c r="E14" s="9" t="s">
        <v>543</v>
      </c>
      <c r="F14" s="9" t="s">
        <v>598</v>
      </c>
      <c r="G14" s="9" t="s">
        <v>1849</v>
      </c>
      <c r="H14" s="9" t="s">
        <v>606</v>
      </c>
      <c r="I14" s="9" t="s">
        <v>68</v>
      </c>
      <c r="J14" s="9" t="s">
        <v>1860</v>
      </c>
      <c r="K14" s="9" t="s">
        <v>1851</v>
      </c>
      <c r="L14" s="9" t="s">
        <v>358</v>
      </c>
      <c r="M14" s="9" t="s">
        <v>1854</v>
      </c>
      <c r="N14" s="9" t="s">
        <v>1853</v>
      </c>
      <c r="O14" s="9"/>
      <c r="P14" s="9"/>
      <c r="Q14" s="10"/>
      <c r="R14" s="10"/>
      <c r="S14" s="10"/>
      <c r="T14" s="10"/>
      <c r="U14" s="10"/>
      <c r="V14" s="10"/>
      <c r="W14" s="10"/>
      <c r="X14" s="10"/>
      <c r="Y14" s="10"/>
      <c r="Z14" s="10"/>
    </row>
    <row r="15" spans="1:26" ht="13.5" customHeight="1">
      <c r="A15" s="9" t="s">
        <v>1845</v>
      </c>
      <c r="B15" s="9" t="s">
        <v>1846</v>
      </c>
      <c r="C15" s="9" t="s">
        <v>1847</v>
      </c>
      <c r="D15" s="9" t="s">
        <v>1848</v>
      </c>
      <c r="E15" s="9" t="s">
        <v>543</v>
      </c>
      <c r="F15" s="9" t="s">
        <v>1816</v>
      </c>
      <c r="G15" s="9" t="s">
        <v>1849</v>
      </c>
      <c r="H15" s="9" t="s">
        <v>631</v>
      </c>
      <c r="I15" s="9" t="s">
        <v>68</v>
      </c>
      <c r="J15" s="9" t="s">
        <v>1860</v>
      </c>
      <c r="K15" s="9" t="s">
        <v>1851</v>
      </c>
      <c r="L15" s="9" t="s">
        <v>699</v>
      </c>
      <c r="M15" s="9" t="s">
        <v>1852</v>
      </c>
      <c r="N15" s="9" t="s">
        <v>1853</v>
      </c>
      <c r="O15" s="9"/>
      <c r="P15" s="9"/>
      <c r="Q15" s="10"/>
      <c r="R15" s="10"/>
      <c r="S15" s="10"/>
      <c r="T15" s="10"/>
      <c r="U15" s="10"/>
      <c r="V15" s="10"/>
      <c r="W15" s="10"/>
      <c r="X15" s="10"/>
      <c r="Y15" s="10"/>
      <c r="Z15" s="10"/>
    </row>
    <row r="16" spans="1:26" ht="13.5" customHeight="1">
      <c r="A16" s="9" t="s">
        <v>1845</v>
      </c>
      <c r="B16" s="9" t="s">
        <v>1846</v>
      </c>
      <c r="C16" s="9" t="s">
        <v>1847</v>
      </c>
      <c r="D16" s="9" t="s">
        <v>1848</v>
      </c>
      <c r="E16" s="9" t="s">
        <v>543</v>
      </c>
      <c r="F16" s="9" t="s">
        <v>669</v>
      </c>
      <c r="G16" s="9" t="s">
        <v>1849</v>
      </c>
      <c r="H16" s="9" t="s">
        <v>676</v>
      </c>
      <c r="I16" s="9" t="s">
        <v>68</v>
      </c>
      <c r="J16" s="9" t="s">
        <v>1860</v>
      </c>
      <c r="K16" s="9" t="s">
        <v>1851</v>
      </c>
      <c r="L16" s="9" t="s">
        <v>358</v>
      </c>
      <c r="M16" s="9" t="s">
        <v>1854</v>
      </c>
      <c r="N16" s="9" t="s">
        <v>1853</v>
      </c>
      <c r="O16" s="9"/>
      <c r="P16" s="9"/>
      <c r="Q16" s="10"/>
      <c r="R16" s="10"/>
      <c r="S16" s="10"/>
      <c r="T16" s="10"/>
      <c r="U16" s="10"/>
      <c r="V16" s="10"/>
      <c r="W16" s="10"/>
      <c r="X16" s="10"/>
      <c r="Y16" s="10"/>
      <c r="Z16" s="10"/>
    </row>
    <row r="17" spans="1:26" ht="13.5" customHeight="1">
      <c r="A17" s="9" t="s">
        <v>1845</v>
      </c>
      <c r="B17" s="9" t="s">
        <v>1846</v>
      </c>
      <c r="C17" s="9" t="s">
        <v>1847</v>
      </c>
      <c r="D17" s="9" t="s">
        <v>1848</v>
      </c>
      <c r="E17" s="9" t="s">
        <v>697</v>
      </c>
      <c r="F17" s="9" t="s">
        <v>742</v>
      </c>
      <c r="G17" s="9" t="s">
        <v>1849</v>
      </c>
      <c r="H17" s="9" t="s">
        <v>750</v>
      </c>
      <c r="I17" s="9" t="s">
        <v>68</v>
      </c>
      <c r="J17" s="9" t="s">
        <v>1862</v>
      </c>
      <c r="K17" s="9" t="s">
        <v>1851</v>
      </c>
      <c r="L17" s="9" t="s">
        <v>699</v>
      </c>
      <c r="M17" s="9" t="s">
        <v>1863</v>
      </c>
      <c r="N17" s="9" t="s">
        <v>1853</v>
      </c>
      <c r="O17" s="9"/>
      <c r="P17" s="9"/>
      <c r="Q17" s="10"/>
      <c r="R17" s="10"/>
      <c r="S17" s="10"/>
      <c r="T17" s="10"/>
      <c r="U17" s="10"/>
      <c r="V17" s="10"/>
      <c r="W17" s="10"/>
      <c r="X17" s="10"/>
      <c r="Y17" s="10"/>
      <c r="Z17" s="10"/>
    </row>
    <row r="18" spans="1:26" ht="13.5" customHeight="1">
      <c r="A18" s="9" t="s">
        <v>1845</v>
      </c>
      <c r="B18" s="9" t="s">
        <v>1846</v>
      </c>
      <c r="C18" s="9" t="s">
        <v>1847</v>
      </c>
      <c r="D18" s="9" t="s">
        <v>1848</v>
      </c>
      <c r="E18" s="9" t="s">
        <v>859</v>
      </c>
      <c r="F18" s="9" t="s">
        <v>935</v>
      </c>
      <c r="G18" s="9" t="s">
        <v>1849</v>
      </c>
      <c r="H18" s="9" t="s">
        <v>943</v>
      </c>
      <c r="I18" s="9" t="s">
        <v>68</v>
      </c>
      <c r="J18" s="9" t="s">
        <v>1864</v>
      </c>
      <c r="K18" s="9" t="s">
        <v>1851</v>
      </c>
      <c r="L18" s="9" t="s">
        <v>699</v>
      </c>
      <c r="M18" s="9" t="s">
        <v>1865</v>
      </c>
      <c r="N18" s="9" t="s">
        <v>1853</v>
      </c>
      <c r="O18" s="9"/>
      <c r="P18" s="9"/>
      <c r="Q18" s="10"/>
      <c r="R18" s="10"/>
      <c r="S18" s="10"/>
      <c r="T18" s="10"/>
      <c r="U18" s="10"/>
      <c r="V18" s="10"/>
      <c r="W18" s="10"/>
      <c r="X18" s="10"/>
      <c r="Y18" s="10"/>
      <c r="Z18" s="10"/>
    </row>
    <row r="19" spans="1:26" ht="13.5" customHeight="1">
      <c r="A19" s="9" t="s">
        <v>1866</v>
      </c>
      <c r="B19" s="9" t="s">
        <v>1867</v>
      </c>
      <c r="C19" s="9" t="s">
        <v>1868</v>
      </c>
      <c r="D19" s="9" t="s">
        <v>1869</v>
      </c>
      <c r="E19" s="9" t="s">
        <v>1061</v>
      </c>
      <c r="F19" s="9" t="s">
        <v>1795</v>
      </c>
      <c r="G19" s="9" t="s">
        <v>1849</v>
      </c>
      <c r="H19" s="9" t="s">
        <v>1072</v>
      </c>
      <c r="I19" s="9" t="s">
        <v>71</v>
      </c>
      <c r="J19" s="9" t="s">
        <v>1870</v>
      </c>
      <c r="K19" s="9" t="s">
        <v>1851</v>
      </c>
      <c r="L19" s="9" t="s">
        <v>57</v>
      </c>
      <c r="M19" s="9" t="s">
        <v>1852</v>
      </c>
      <c r="N19" s="9" t="s">
        <v>1853</v>
      </c>
      <c r="O19" s="9"/>
      <c r="P19" s="9"/>
      <c r="Q19" s="10"/>
      <c r="R19" s="10"/>
      <c r="S19" s="10"/>
      <c r="T19" s="10"/>
      <c r="U19" s="10"/>
      <c r="V19" s="10"/>
      <c r="W19" s="10"/>
      <c r="X19" s="10"/>
      <c r="Y19" s="10"/>
      <c r="Z19" s="10"/>
    </row>
    <row r="20" spans="1:26" ht="13.5" customHeight="1">
      <c r="A20" s="9" t="s">
        <v>1866</v>
      </c>
      <c r="B20" s="9" t="s">
        <v>1867</v>
      </c>
      <c r="C20" s="9" t="s">
        <v>1868</v>
      </c>
      <c r="D20" s="9" t="s">
        <v>1869</v>
      </c>
      <c r="E20" s="9" t="s">
        <v>1061</v>
      </c>
      <c r="F20" s="9" t="s">
        <v>1798</v>
      </c>
      <c r="G20" s="9" t="s">
        <v>1849</v>
      </c>
      <c r="H20" s="9" t="s">
        <v>1117</v>
      </c>
      <c r="I20" s="9" t="s">
        <v>71</v>
      </c>
      <c r="J20" s="9" t="s">
        <v>1870</v>
      </c>
      <c r="K20" s="9" t="s">
        <v>1851</v>
      </c>
      <c r="L20" s="9" t="s">
        <v>57</v>
      </c>
      <c r="M20" s="9" t="s">
        <v>1852</v>
      </c>
      <c r="N20" s="9" t="s">
        <v>1853</v>
      </c>
      <c r="O20" s="9"/>
      <c r="P20" s="9"/>
      <c r="Q20" s="10"/>
      <c r="R20" s="10"/>
      <c r="S20" s="10"/>
      <c r="T20" s="10"/>
      <c r="U20" s="10"/>
      <c r="V20" s="10"/>
      <c r="W20" s="10"/>
      <c r="X20" s="10"/>
      <c r="Y20" s="10"/>
      <c r="Z20" s="10"/>
    </row>
    <row r="21" spans="1:26" ht="13.5" customHeight="1">
      <c r="A21" s="9" t="s">
        <v>1866</v>
      </c>
      <c r="B21" s="9" t="s">
        <v>1867</v>
      </c>
      <c r="C21" s="9" t="s">
        <v>1868</v>
      </c>
      <c r="D21" s="9" t="s">
        <v>1869</v>
      </c>
      <c r="E21" s="9" t="s">
        <v>1061</v>
      </c>
      <c r="F21" s="9" t="s">
        <v>1800</v>
      </c>
      <c r="G21" s="9" t="s">
        <v>1849</v>
      </c>
      <c r="H21" s="9" t="s">
        <v>1152</v>
      </c>
      <c r="I21" s="9" t="s">
        <v>71</v>
      </c>
      <c r="J21" s="9" t="s">
        <v>1870</v>
      </c>
      <c r="K21" s="9" t="s">
        <v>1851</v>
      </c>
      <c r="L21" s="9" t="s">
        <v>57</v>
      </c>
      <c r="M21" s="9" t="s">
        <v>1852</v>
      </c>
      <c r="N21" s="9" t="s">
        <v>1853</v>
      </c>
      <c r="O21" s="9"/>
      <c r="P21" s="9"/>
      <c r="Q21" s="10"/>
      <c r="R21" s="10"/>
      <c r="S21" s="10"/>
      <c r="T21" s="10"/>
      <c r="U21" s="10"/>
      <c r="V21" s="10"/>
      <c r="W21" s="10"/>
      <c r="X21" s="10"/>
      <c r="Y21" s="10"/>
      <c r="Z21" s="10"/>
    </row>
    <row r="22" spans="1:26" ht="13.5" customHeight="1">
      <c r="A22" s="9" t="s">
        <v>1866</v>
      </c>
      <c r="B22" s="9" t="s">
        <v>1867</v>
      </c>
      <c r="C22" s="9" t="s">
        <v>1868</v>
      </c>
      <c r="D22" s="9" t="s">
        <v>1869</v>
      </c>
      <c r="E22" s="9" t="s">
        <v>1061</v>
      </c>
      <c r="F22" s="9" t="s">
        <v>1802</v>
      </c>
      <c r="G22" s="9" t="s">
        <v>1849</v>
      </c>
      <c r="H22" s="9" t="s">
        <v>1174</v>
      </c>
      <c r="I22" s="9" t="s">
        <v>71</v>
      </c>
      <c r="J22" s="9" t="s">
        <v>1870</v>
      </c>
      <c r="K22" s="9" t="s">
        <v>1851</v>
      </c>
      <c r="L22" s="9" t="s">
        <v>57</v>
      </c>
      <c r="M22" s="9" t="s">
        <v>1854</v>
      </c>
      <c r="N22" s="9" t="s">
        <v>1853</v>
      </c>
      <c r="O22" s="9"/>
      <c r="P22" s="9"/>
      <c r="Q22" s="10"/>
      <c r="R22" s="10"/>
      <c r="S22" s="10"/>
      <c r="T22" s="10"/>
      <c r="U22" s="10"/>
      <c r="V22" s="10"/>
      <c r="W22" s="10"/>
      <c r="X22" s="10"/>
      <c r="Y22" s="10"/>
      <c r="Z22" s="10"/>
    </row>
    <row r="23" spans="1:26" ht="13.5" customHeight="1">
      <c r="A23" s="9" t="s">
        <v>1866</v>
      </c>
      <c r="B23" s="9" t="s">
        <v>1867</v>
      </c>
      <c r="C23" s="9" t="s">
        <v>1868</v>
      </c>
      <c r="D23" s="9" t="s">
        <v>1869</v>
      </c>
      <c r="E23" s="9" t="s">
        <v>1061</v>
      </c>
      <c r="F23" s="9" t="s">
        <v>1804</v>
      </c>
      <c r="G23" s="9" t="s">
        <v>1849</v>
      </c>
      <c r="H23" s="9" t="s">
        <v>1189</v>
      </c>
      <c r="I23" s="9" t="s">
        <v>71</v>
      </c>
      <c r="J23" s="9" t="s">
        <v>1870</v>
      </c>
      <c r="K23" s="9" t="s">
        <v>1851</v>
      </c>
      <c r="L23" s="9" t="s">
        <v>57</v>
      </c>
      <c r="M23" s="9" t="s">
        <v>1855</v>
      </c>
      <c r="N23" s="9" t="s">
        <v>1853</v>
      </c>
      <c r="O23" s="9"/>
      <c r="P23" s="9"/>
      <c r="Q23" s="10"/>
      <c r="R23" s="10"/>
      <c r="S23" s="10"/>
      <c r="T23" s="10"/>
      <c r="U23" s="10"/>
      <c r="V23" s="10"/>
      <c r="W23" s="10"/>
      <c r="X23" s="10"/>
      <c r="Y23" s="10"/>
      <c r="Z23" s="10"/>
    </row>
    <row r="24" spans="1:26" ht="13.5" customHeight="1">
      <c r="A24" s="9" t="s">
        <v>1866</v>
      </c>
      <c r="B24" s="9" t="s">
        <v>1867</v>
      </c>
      <c r="C24" s="9" t="s">
        <v>1868</v>
      </c>
      <c r="D24" s="9" t="s">
        <v>1869</v>
      </c>
      <c r="E24" s="9" t="s">
        <v>55</v>
      </c>
      <c r="F24" s="9" t="s">
        <v>59</v>
      </c>
      <c r="G24" s="9" t="s">
        <v>1849</v>
      </c>
      <c r="H24" s="9" t="s">
        <v>70</v>
      </c>
      <c r="I24" s="9" t="s">
        <v>71</v>
      </c>
      <c r="J24" s="9" t="s">
        <v>1871</v>
      </c>
      <c r="K24" s="9" t="s">
        <v>1851</v>
      </c>
      <c r="L24" s="9" t="s">
        <v>699</v>
      </c>
      <c r="M24" s="9" t="s">
        <v>1854</v>
      </c>
      <c r="N24" s="9" t="s">
        <v>1853</v>
      </c>
      <c r="O24" s="9"/>
      <c r="P24" s="9"/>
      <c r="Q24" s="10"/>
      <c r="R24" s="10"/>
      <c r="S24" s="10"/>
      <c r="T24" s="10"/>
      <c r="U24" s="10"/>
      <c r="V24" s="10"/>
      <c r="W24" s="10"/>
      <c r="X24" s="10"/>
      <c r="Y24" s="10"/>
      <c r="Z24" s="10"/>
    </row>
    <row r="25" spans="1:26" ht="13.5" customHeight="1">
      <c r="A25" s="9" t="s">
        <v>1866</v>
      </c>
      <c r="B25" s="9" t="s">
        <v>1867</v>
      </c>
      <c r="C25" s="9" t="s">
        <v>1868</v>
      </c>
      <c r="D25" s="9" t="s">
        <v>1869</v>
      </c>
      <c r="E25" s="9" t="s">
        <v>55</v>
      </c>
      <c r="F25" s="9" t="s">
        <v>111</v>
      </c>
      <c r="G25" s="9" t="s">
        <v>1849</v>
      </c>
      <c r="H25" s="9" t="s">
        <v>120</v>
      </c>
      <c r="I25" s="9" t="s">
        <v>71</v>
      </c>
      <c r="J25" s="9" t="s">
        <v>1871</v>
      </c>
      <c r="K25" s="9" t="s">
        <v>1851</v>
      </c>
      <c r="L25" s="9" t="s">
        <v>699</v>
      </c>
      <c r="M25" s="9" t="s">
        <v>1854</v>
      </c>
      <c r="N25" s="9" t="s">
        <v>1853</v>
      </c>
      <c r="O25" s="9"/>
      <c r="P25" s="9"/>
      <c r="Q25" s="10"/>
      <c r="R25" s="10"/>
      <c r="S25" s="10"/>
      <c r="T25" s="10"/>
      <c r="U25" s="10"/>
      <c r="V25" s="10"/>
      <c r="W25" s="10"/>
      <c r="X25" s="10"/>
      <c r="Y25" s="10"/>
      <c r="Z25" s="10"/>
    </row>
    <row r="26" spans="1:26" ht="13.5" customHeight="1">
      <c r="A26" s="9" t="s">
        <v>1866</v>
      </c>
      <c r="B26" s="9" t="s">
        <v>1867</v>
      </c>
      <c r="C26" s="9" t="s">
        <v>1868</v>
      </c>
      <c r="D26" s="9" t="s">
        <v>1869</v>
      </c>
      <c r="E26" s="9" t="s">
        <v>55</v>
      </c>
      <c r="F26" s="9" t="s">
        <v>161</v>
      </c>
      <c r="G26" s="9" t="s">
        <v>1849</v>
      </c>
      <c r="H26" s="9" t="s">
        <v>169</v>
      </c>
      <c r="I26" s="9" t="s">
        <v>170</v>
      </c>
      <c r="J26" s="9" t="s">
        <v>1871</v>
      </c>
      <c r="K26" s="9" t="s">
        <v>1851</v>
      </c>
      <c r="L26" s="9" t="s">
        <v>358</v>
      </c>
      <c r="M26" s="9" t="s">
        <v>1857</v>
      </c>
      <c r="N26" s="9" t="s">
        <v>1853</v>
      </c>
      <c r="O26" s="9"/>
      <c r="P26" s="9"/>
      <c r="Q26" s="10"/>
      <c r="R26" s="10"/>
      <c r="S26" s="10"/>
      <c r="T26" s="10"/>
      <c r="U26" s="10"/>
      <c r="V26" s="10"/>
      <c r="W26" s="10"/>
      <c r="X26" s="10"/>
      <c r="Y26" s="10"/>
      <c r="Z26" s="10"/>
    </row>
    <row r="27" spans="1:26" ht="13.5" customHeight="1">
      <c r="A27" s="9" t="s">
        <v>1866</v>
      </c>
      <c r="B27" s="9" t="s">
        <v>1867</v>
      </c>
      <c r="C27" s="9" t="s">
        <v>1868</v>
      </c>
      <c r="D27" s="9" t="s">
        <v>1869</v>
      </c>
      <c r="E27" s="9" t="s">
        <v>182</v>
      </c>
      <c r="F27" s="9" t="s">
        <v>1809</v>
      </c>
      <c r="G27" s="9" t="s">
        <v>1849</v>
      </c>
      <c r="H27" s="9" t="s">
        <v>193</v>
      </c>
      <c r="I27" s="9" t="s">
        <v>71</v>
      </c>
      <c r="J27" s="9" t="s">
        <v>1872</v>
      </c>
      <c r="K27" s="9" t="s">
        <v>1851</v>
      </c>
      <c r="L27" s="9" t="s">
        <v>699</v>
      </c>
      <c r="M27" s="9" t="s">
        <v>1859</v>
      </c>
      <c r="N27" s="9" t="s">
        <v>1853</v>
      </c>
      <c r="O27" s="9"/>
      <c r="P27" s="9"/>
      <c r="Q27" s="10"/>
      <c r="R27" s="10"/>
      <c r="S27" s="10"/>
      <c r="T27" s="10"/>
      <c r="U27" s="10"/>
      <c r="V27" s="10"/>
      <c r="W27" s="10"/>
      <c r="X27" s="10"/>
      <c r="Y27" s="10"/>
      <c r="Z27" s="10"/>
    </row>
    <row r="28" spans="1:26" ht="13.5" customHeight="1">
      <c r="A28" s="9" t="s">
        <v>1866</v>
      </c>
      <c r="B28" s="9" t="s">
        <v>1867</v>
      </c>
      <c r="C28" s="9" t="s">
        <v>1868</v>
      </c>
      <c r="D28" s="9" t="s">
        <v>1869</v>
      </c>
      <c r="E28" s="9" t="s">
        <v>182</v>
      </c>
      <c r="F28" s="9" t="s">
        <v>1811</v>
      </c>
      <c r="G28" s="9" t="s">
        <v>1849</v>
      </c>
      <c r="H28" s="9" t="s">
        <v>254</v>
      </c>
      <c r="I28" s="9" t="s">
        <v>71</v>
      </c>
      <c r="J28" s="9" t="s">
        <v>1872</v>
      </c>
      <c r="K28" s="9" t="s">
        <v>1851</v>
      </c>
      <c r="L28" s="9" t="s">
        <v>699</v>
      </c>
      <c r="M28" s="9" t="s">
        <v>1859</v>
      </c>
      <c r="N28" s="9" t="s">
        <v>1853</v>
      </c>
      <c r="O28" s="9"/>
      <c r="P28" s="9"/>
      <c r="Q28" s="10"/>
      <c r="R28" s="10"/>
      <c r="S28" s="10"/>
      <c r="T28" s="10"/>
      <c r="U28" s="10"/>
      <c r="V28" s="10"/>
      <c r="W28" s="10"/>
      <c r="X28" s="10"/>
      <c r="Y28" s="10"/>
      <c r="Z28" s="10"/>
    </row>
    <row r="29" spans="1:26" ht="13.5" customHeight="1">
      <c r="A29" s="9" t="s">
        <v>1866</v>
      </c>
      <c r="B29" s="9" t="s">
        <v>1867</v>
      </c>
      <c r="C29" s="9" t="s">
        <v>1868</v>
      </c>
      <c r="D29" s="9" t="s">
        <v>1869</v>
      </c>
      <c r="E29" s="9" t="s">
        <v>182</v>
      </c>
      <c r="F29" s="9" t="s">
        <v>323</v>
      </c>
      <c r="G29" s="9" t="s">
        <v>1849</v>
      </c>
      <c r="H29" s="9" t="s">
        <v>333</v>
      </c>
      <c r="I29" s="9" t="s">
        <v>170</v>
      </c>
      <c r="J29" s="9" t="s">
        <v>1872</v>
      </c>
      <c r="K29" s="9" t="s">
        <v>1851</v>
      </c>
      <c r="L29" s="9" t="s">
        <v>358</v>
      </c>
      <c r="M29" s="9" t="s">
        <v>1854</v>
      </c>
      <c r="N29" s="9" t="s">
        <v>1853</v>
      </c>
      <c r="O29" s="9"/>
      <c r="P29" s="9"/>
      <c r="Q29" s="10"/>
      <c r="R29" s="10"/>
      <c r="S29" s="10"/>
      <c r="T29" s="10"/>
      <c r="U29" s="10"/>
      <c r="V29" s="10"/>
      <c r="W29" s="10"/>
      <c r="X29" s="10"/>
      <c r="Y29" s="10"/>
      <c r="Z29" s="10"/>
    </row>
    <row r="30" spans="1:26" ht="13.5" customHeight="1">
      <c r="A30" s="9" t="s">
        <v>1866</v>
      </c>
      <c r="B30" s="9" t="s">
        <v>1867</v>
      </c>
      <c r="C30" s="9" t="s">
        <v>1868</v>
      </c>
      <c r="D30" s="9" t="s">
        <v>1869</v>
      </c>
      <c r="E30" s="9" t="s">
        <v>543</v>
      </c>
      <c r="F30" s="9" t="s">
        <v>544</v>
      </c>
      <c r="G30" s="9" t="s">
        <v>1849</v>
      </c>
      <c r="H30" s="9" t="s">
        <v>555</v>
      </c>
      <c r="I30" s="9" t="s">
        <v>71</v>
      </c>
      <c r="J30" s="9" t="s">
        <v>1873</v>
      </c>
      <c r="K30" s="9" t="s">
        <v>1851</v>
      </c>
      <c r="L30" s="9" t="s">
        <v>358</v>
      </c>
      <c r="M30" s="9" t="s">
        <v>1861</v>
      </c>
      <c r="N30" s="9" t="s">
        <v>1853</v>
      </c>
      <c r="O30" s="9"/>
      <c r="P30" s="9"/>
      <c r="Q30" s="10"/>
      <c r="R30" s="10"/>
      <c r="S30" s="10"/>
      <c r="T30" s="10"/>
      <c r="U30" s="10"/>
      <c r="V30" s="10"/>
      <c r="W30" s="10"/>
      <c r="X30" s="10"/>
      <c r="Y30" s="10"/>
      <c r="Z30" s="10"/>
    </row>
    <row r="31" spans="1:26" ht="13.5" customHeight="1">
      <c r="A31" s="9" t="s">
        <v>1866</v>
      </c>
      <c r="B31" s="9" t="s">
        <v>1867</v>
      </c>
      <c r="C31" s="9" t="s">
        <v>1868</v>
      </c>
      <c r="D31" s="9" t="s">
        <v>1869</v>
      </c>
      <c r="E31" s="9" t="s">
        <v>543</v>
      </c>
      <c r="F31" s="9" t="s">
        <v>598</v>
      </c>
      <c r="G31" s="9" t="s">
        <v>1849</v>
      </c>
      <c r="H31" s="9" t="s">
        <v>608</v>
      </c>
      <c r="I31" s="9" t="s">
        <v>71</v>
      </c>
      <c r="J31" s="9" t="s">
        <v>1873</v>
      </c>
      <c r="K31" s="9" t="s">
        <v>1851</v>
      </c>
      <c r="L31" s="9" t="s">
        <v>358</v>
      </c>
      <c r="M31" s="9" t="s">
        <v>1854</v>
      </c>
      <c r="N31" s="9" t="s">
        <v>1853</v>
      </c>
      <c r="O31" s="9"/>
      <c r="P31" s="9"/>
      <c r="Q31" s="10"/>
      <c r="R31" s="10"/>
      <c r="S31" s="10"/>
      <c r="T31" s="10"/>
      <c r="U31" s="10"/>
      <c r="V31" s="10"/>
      <c r="W31" s="10"/>
      <c r="X31" s="10"/>
      <c r="Y31" s="10"/>
      <c r="Z31" s="10"/>
    </row>
    <row r="32" spans="1:26" ht="13.5" customHeight="1">
      <c r="A32" s="9" t="s">
        <v>1866</v>
      </c>
      <c r="B32" s="9" t="s">
        <v>1867</v>
      </c>
      <c r="C32" s="9" t="s">
        <v>1868</v>
      </c>
      <c r="D32" s="9" t="s">
        <v>1869</v>
      </c>
      <c r="E32" s="9" t="s">
        <v>543</v>
      </c>
      <c r="F32" s="9" t="s">
        <v>1816</v>
      </c>
      <c r="G32" s="9" t="s">
        <v>1849</v>
      </c>
      <c r="H32" s="9" t="s">
        <v>633</v>
      </c>
      <c r="I32" s="9" t="s">
        <v>71</v>
      </c>
      <c r="J32" s="9" t="s">
        <v>1873</v>
      </c>
      <c r="K32" s="9" t="s">
        <v>1851</v>
      </c>
      <c r="L32" s="9" t="s">
        <v>699</v>
      </c>
      <c r="M32" s="9" t="s">
        <v>1852</v>
      </c>
      <c r="N32" s="9" t="s">
        <v>1853</v>
      </c>
      <c r="O32" s="9"/>
      <c r="P32" s="9"/>
      <c r="Q32" s="10"/>
      <c r="R32" s="10"/>
      <c r="S32" s="10"/>
      <c r="T32" s="10"/>
      <c r="U32" s="10"/>
      <c r="V32" s="10"/>
      <c r="W32" s="10"/>
      <c r="X32" s="10"/>
      <c r="Y32" s="10"/>
      <c r="Z32" s="10"/>
    </row>
    <row r="33" spans="1:26" ht="13.5" customHeight="1">
      <c r="A33" s="9" t="s">
        <v>1866</v>
      </c>
      <c r="B33" s="9" t="s">
        <v>1867</v>
      </c>
      <c r="C33" s="9" t="s">
        <v>1868</v>
      </c>
      <c r="D33" s="9" t="s">
        <v>1869</v>
      </c>
      <c r="E33" s="9" t="s">
        <v>543</v>
      </c>
      <c r="F33" s="9" t="s">
        <v>669</v>
      </c>
      <c r="G33" s="9" t="s">
        <v>1849</v>
      </c>
      <c r="H33" s="9" t="s">
        <v>678</v>
      </c>
      <c r="I33" s="9" t="s">
        <v>71</v>
      </c>
      <c r="J33" s="9" t="s">
        <v>1873</v>
      </c>
      <c r="K33" s="9" t="s">
        <v>1851</v>
      </c>
      <c r="L33" s="9" t="s">
        <v>358</v>
      </c>
      <c r="M33" s="9" t="s">
        <v>1854</v>
      </c>
      <c r="N33" s="9" t="s">
        <v>1853</v>
      </c>
      <c r="O33" s="9"/>
      <c r="P33" s="9"/>
      <c r="Q33" s="10"/>
      <c r="R33" s="10"/>
      <c r="S33" s="10"/>
      <c r="T33" s="10"/>
      <c r="U33" s="10"/>
      <c r="V33" s="10"/>
      <c r="W33" s="10"/>
      <c r="X33" s="10"/>
      <c r="Y33" s="10"/>
      <c r="Z33" s="10"/>
    </row>
    <row r="34" spans="1:26" ht="13.5" customHeight="1">
      <c r="A34" s="9" t="s">
        <v>1866</v>
      </c>
      <c r="B34" s="9" t="s">
        <v>1867</v>
      </c>
      <c r="C34" s="9" t="s">
        <v>1868</v>
      </c>
      <c r="D34" s="9" t="s">
        <v>1869</v>
      </c>
      <c r="E34" s="9" t="s">
        <v>697</v>
      </c>
      <c r="F34" s="9" t="s">
        <v>742</v>
      </c>
      <c r="G34" s="9" t="s">
        <v>1849</v>
      </c>
      <c r="H34" s="9" t="s">
        <v>752</v>
      </c>
      <c r="I34" s="9" t="s">
        <v>71</v>
      </c>
      <c r="J34" s="9" t="s">
        <v>1874</v>
      </c>
      <c r="K34" s="9" t="s">
        <v>1851</v>
      </c>
      <c r="L34" s="9" t="s">
        <v>699</v>
      </c>
      <c r="M34" s="9" t="s">
        <v>1863</v>
      </c>
      <c r="N34" s="9" t="s">
        <v>1853</v>
      </c>
      <c r="O34" s="9"/>
      <c r="P34" s="9"/>
      <c r="Q34" s="10"/>
      <c r="R34" s="10"/>
      <c r="S34" s="10"/>
      <c r="T34" s="10"/>
      <c r="U34" s="10"/>
      <c r="V34" s="10"/>
      <c r="W34" s="10"/>
      <c r="X34" s="10"/>
      <c r="Y34" s="10"/>
      <c r="Z34" s="10"/>
    </row>
    <row r="35" spans="1:26" ht="13.5" customHeight="1">
      <c r="A35" s="9" t="s">
        <v>1866</v>
      </c>
      <c r="B35" s="9" t="s">
        <v>1867</v>
      </c>
      <c r="C35" s="9" t="s">
        <v>1868</v>
      </c>
      <c r="D35" s="9" t="s">
        <v>1869</v>
      </c>
      <c r="E35" s="9" t="s">
        <v>859</v>
      </c>
      <c r="F35" s="9" t="s">
        <v>935</v>
      </c>
      <c r="G35" s="9" t="s">
        <v>1849</v>
      </c>
      <c r="H35" s="9" t="s">
        <v>945</v>
      </c>
      <c r="I35" s="9" t="s">
        <v>71</v>
      </c>
      <c r="J35" s="9" t="s">
        <v>1875</v>
      </c>
      <c r="K35" s="9" t="s">
        <v>1851</v>
      </c>
      <c r="L35" s="9" t="s">
        <v>699</v>
      </c>
      <c r="M35" s="9" t="s">
        <v>1865</v>
      </c>
      <c r="N35" s="9" t="s">
        <v>1853</v>
      </c>
      <c r="O35" s="9"/>
      <c r="P35" s="9"/>
      <c r="Q35" s="10"/>
      <c r="R35" s="10"/>
      <c r="S35" s="10"/>
      <c r="T35" s="10"/>
      <c r="U35" s="10"/>
      <c r="V35" s="10"/>
      <c r="W35" s="10"/>
      <c r="X35" s="10"/>
      <c r="Y35" s="10"/>
      <c r="Z35" s="10"/>
    </row>
    <row r="36" spans="1:26" ht="13.5" customHeight="1">
      <c r="A36" s="9" t="s">
        <v>1876</v>
      </c>
      <c r="B36" s="9" t="s">
        <v>1877</v>
      </c>
      <c r="C36" s="9" t="s">
        <v>1878</v>
      </c>
      <c r="D36" s="9" t="s">
        <v>1879</v>
      </c>
      <c r="E36" s="9" t="s">
        <v>1061</v>
      </c>
      <c r="F36" s="9" t="s">
        <v>1795</v>
      </c>
      <c r="G36" s="9" t="s">
        <v>1849</v>
      </c>
      <c r="H36" s="9" t="s">
        <v>1074</v>
      </c>
      <c r="I36" s="9" t="s">
        <v>74</v>
      </c>
      <c r="J36" s="9" t="s">
        <v>1880</v>
      </c>
      <c r="K36" s="9" t="s">
        <v>1881</v>
      </c>
      <c r="L36" s="9" t="s">
        <v>57</v>
      </c>
      <c r="M36" s="9" t="s">
        <v>1852</v>
      </c>
      <c r="N36" s="9" t="s">
        <v>1853</v>
      </c>
      <c r="O36" s="9"/>
      <c r="P36" s="9"/>
      <c r="Q36" s="10"/>
      <c r="R36" s="10"/>
      <c r="S36" s="10"/>
      <c r="T36" s="10"/>
      <c r="U36" s="10"/>
      <c r="V36" s="10"/>
      <c r="W36" s="10"/>
      <c r="X36" s="10"/>
      <c r="Y36" s="10"/>
      <c r="Z36" s="10"/>
    </row>
    <row r="37" spans="1:26" ht="13.5" customHeight="1">
      <c r="A37" s="9" t="s">
        <v>1876</v>
      </c>
      <c r="B37" s="9" t="s">
        <v>1877</v>
      </c>
      <c r="C37" s="9" t="s">
        <v>1878</v>
      </c>
      <c r="D37" s="9" t="s">
        <v>1879</v>
      </c>
      <c r="E37" s="9" t="s">
        <v>1061</v>
      </c>
      <c r="F37" s="9" t="s">
        <v>1798</v>
      </c>
      <c r="G37" s="9" t="s">
        <v>1849</v>
      </c>
      <c r="H37" s="9" t="s">
        <v>1118</v>
      </c>
      <c r="I37" s="9" t="s">
        <v>74</v>
      </c>
      <c r="J37" s="9" t="s">
        <v>1880</v>
      </c>
      <c r="K37" s="9" t="s">
        <v>1881</v>
      </c>
      <c r="L37" s="9" t="s">
        <v>57</v>
      </c>
      <c r="M37" s="9" t="s">
        <v>1852</v>
      </c>
      <c r="N37" s="9" t="s">
        <v>1853</v>
      </c>
      <c r="O37" s="9"/>
      <c r="P37" s="9"/>
      <c r="Q37" s="10"/>
      <c r="R37" s="10"/>
      <c r="S37" s="10"/>
      <c r="T37" s="10"/>
      <c r="U37" s="10"/>
      <c r="V37" s="10"/>
      <c r="W37" s="10"/>
      <c r="X37" s="10"/>
      <c r="Y37" s="10"/>
      <c r="Z37" s="10"/>
    </row>
    <row r="38" spans="1:26" ht="13.5" customHeight="1">
      <c r="A38" s="9" t="s">
        <v>1876</v>
      </c>
      <c r="B38" s="9" t="s">
        <v>1877</v>
      </c>
      <c r="C38" s="9" t="s">
        <v>1878</v>
      </c>
      <c r="D38" s="9" t="s">
        <v>1879</v>
      </c>
      <c r="E38" s="9" t="s">
        <v>1061</v>
      </c>
      <c r="F38" s="9" t="s">
        <v>1800</v>
      </c>
      <c r="G38" s="9" t="s">
        <v>1849</v>
      </c>
      <c r="H38" s="9" t="s">
        <v>1153</v>
      </c>
      <c r="I38" s="9" t="s">
        <v>74</v>
      </c>
      <c r="J38" s="9" t="s">
        <v>1880</v>
      </c>
      <c r="K38" s="9" t="s">
        <v>1881</v>
      </c>
      <c r="L38" s="9" t="s">
        <v>57</v>
      </c>
      <c r="M38" s="9" t="s">
        <v>1852</v>
      </c>
      <c r="N38" s="9" t="s">
        <v>1853</v>
      </c>
      <c r="O38" s="9"/>
      <c r="P38" s="9"/>
      <c r="Q38" s="10"/>
      <c r="R38" s="10"/>
      <c r="S38" s="10"/>
      <c r="T38" s="10"/>
      <c r="U38" s="10"/>
      <c r="V38" s="10"/>
      <c r="W38" s="10"/>
      <c r="X38" s="10"/>
      <c r="Y38" s="10"/>
      <c r="Z38" s="10"/>
    </row>
    <row r="39" spans="1:26" ht="13.5" customHeight="1">
      <c r="A39" s="9" t="s">
        <v>1876</v>
      </c>
      <c r="B39" s="9" t="s">
        <v>1877</v>
      </c>
      <c r="C39" s="9" t="s">
        <v>1878</v>
      </c>
      <c r="D39" s="9" t="s">
        <v>1879</v>
      </c>
      <c r="E39" s="9" t="s">
        <v>1061</v>
      </c>
      <c r="F39" s="9" t="s">
        <v>1802</v>
      </c>
      <c r="G39" s="9" t="s">
        <v>1849</v>
      </c>
      <c r="H39" s="9" t="s">
        <v>1175</v>
      </c>
      <c r="I39" s="9" t="s">
        <v>74</v>
      </c>
      <c r="J39" s="9" t="s">
        <v>1880</v>
      </c>
      <c r="K39" s="9" t="s">
        <v>1881</v>
      </c>
      <c r="L39" s="9" t="s">
        <v>57</v>
      </c>
      <c r="M39" s="9" t="s">
        <v>1854</v>
      </c>
      <c r="N39" s="9" t="s">
        <v>1853</v>
      </c>
      <c r="O39" s="9"/>
      <c r="P39" s="9"/>
      <c r="Q39" s="10"/>
      <c r="R39" s="10"/>
      <c r="S39" s="10"/>
      <c r="T39" s="10"/>
      <c r="U39" s="10"/>
      <c r="V39" s="10"/>
      <c r="W39" s="10"/>
      <c r="X39" s="10"/>
      <c r="Y39" s="10"/>
      <c r="Z39" s="10"/>
    </row>
    <row r="40" spans="1:26" ht="13.5" customHeight="1">
      <c r="A40" s="9" t="s">
        <v>1876</v>
      </c>
      <c r="B40" s="9" t="s">
        <v>1877</v>
      </c>
      <c r="C40" s="9" t="s">
        <v>1878</v>
      </c>
      <c r="D40" s="9" t="s">
        <v>1879</v>
      </c>
      <c r="E40" s="9" t="s">
        <v>1061</v>
      </c>
      <c r="F40" s="9" t="s">
        <v>1804</v>
      </c>
      <c r="G40" s="9" t="s">
        <v>1849</v>
      </c>
      <c r="H40" s="9" t="s">
        <v>1190</v>
      </c>
      <c r="I40" s="9" t="s">
        <v>74</v>
      </c>
      <c r="J40" s="9" t="s">
        <v>1880</v>
      </c>
      <c r="K40" s="9" t="s">
        <v>1881</v>
      </c>
      <c r="L40" s="9" t="s">
        <v>57</v>
      </c>
      <c r="M40" s="9" t="s">
        <v>1855</v>
      </c>
      <c r="N40" s="9" t="s">
        <v>1853</v>
      </c>
      <c r="O40" s="9"/>
      <c r="P40" s="9"/>
      <c r="Q40" s="10"/>
      <c r="R40" s="10"/>
      <c r="S40" s="10"/>
      <c r="T40" s="10"/>
      <c r="U40" s="10"/>
      <c r="V40" s="10"/>
      <c r="W40" s="10"/>
      <c r="X40" s="10"/>
      <c r="Y40" s="10"/>
      <c r="Z40" s="10"/>
    </row>
    <row r="41" spans="1:26" ht="13.5" customHeight="1">
      <c r="A41" s="9" t="s">
        <v>1876</v>
      </c>
      <c r="B41" s="9" t="s">
        <v>1877</v>
      </c>
      <c r="C41" s="9" t="s">
        <v>1878</v>
      </c>
      <c r="D41" s="9" t="s">
        <v>1879</v>
      </c>
      <c r="E41" s="9" t="s">
        <v>55</v>
      </c>
      <c r="F41" s="9" t="s">
        <v>59</v>
      </c>
      <c r="G41" s="9" t="s">
        <v>1849</v>
      </c>
      <c r="H41" s="9" t="s">
        <v>73</v>
      </c>
      <c r="I41" s="9" t="s">
        <v>74</v>
      </c>
      <c r="J41" s="9" t="s">
        <v>1882</v>
      </c>
      <c r="K41" s="9" t="s">
        <v>1881</v>
      </c>
      <c r="L41" s="9" t="s">
        <v>699</v>
      </c>
      <c r="M41" s="9" t="s">
        <v>1854</v>
      </c>
      <c r="N41" s="9" t="s">
        <v>1853</v>
      </c>
      <c r="O41" s="9"/>
      <c r="P41" s="9"/>
      <c r="Q41" s="10"/>
      <c r="R41" s="10"/>
      <c r="S41" s="10"/>
      <c r="T41" s="10"/>
      <c r="U41" s="10"/>
      <c r="V41" s="10"/>
      <c r="W41" s="10"/>
      <c r="X41" s="10"/>
      <c r="Y41" s="10"/>
      <c r="Z41" s="10"/>
    </row>
    <row r="42" spans="1:26" ht="13.5" customHeight="1">
      <c r="A42" s="9" t="s">
        <v>1876</v>
      </c>
      <c r="B42" s="9" t="s">
        <v>1877</v>
      </c>
      <c r="C42" s="9" t="s">
        <v>1878</v>
      </c>
      <c r="D42" s="9" t="s">
        <v>1879</v>
      </c>
      <c r="E42" s="9" t="s">
        <v>55</v>
      </c>
      <c r="F42" s="9" t="s">
        <v>111</v>
      </c>
      <c r="G42" s="9" t="s">
        <v>1849</v>
      </c>
      <c r="H42" s="9" t="s">
        <v>122</v>
      </c>
      <c r="I42" s="9" t="s">
        <v>74</v>
      </c>
      <c r="J42" s="9" t="s">
        <v>1882</v>
      </c>
      <c r="K42" s="9" t="s">
        <v>1881</v>
      </c>
      <c r="L42" s="9" t="s">
        <v>699</v>
      </c>
      <c r="M42" s="9" t="s">
        <v>1854</v>
      </c>
      <c r="N42" s="9" t="s">
        <v>1853</v>
      </c>
      <c r="O42" s="9"/>
      <c r="P42" s="9"/>
      <c r="Q42" s="10"/>
      <c r="R42" s="10"/>
      <c r="S42" s="10"/>
      <c r="T42" s="10"/>
      <c r="U42" s="10"/>
      <c r="V42" s="10"/>
      <c r="W42" s="10"/>
      <c r="X42" s="10"/>
      <c r="Y42" s="10"/>
      <c r="Z42" s="10"/>
    </row>
    <row r="43" spans="1:26" ht="13.5" customHeight="1">
      <c r="A43" s="9" t="s">
        <v>1876</v>
      </c>
      <c r="B43" s="9" t="s">
        <v>1877</v>
      </c>
      <c r="C43" s="9" t="s">
        <v>1878</v>
      </c>
      <c r="D43" s="9" t="s">
        <v>1879</v>
      </c>
      <c r="E43" s="9" t="s">
        <v>55</v>
      </c>
      <c r="F43" s="9" t="s">
        <v>161</v>
      </c>
      <c r="G43" s="9" t="s">
        <v>1849</v>
      </c>
      <c r="H43" s="9" t="s">
        <v>172</v>
      </c>
      <c r="I43" s="9" t="s">
        <v>74</v>
      </c>
      <c r="J43" s="9" t="s">
        <v>1882</v>
      </c>
      <c r="K43" s="9" t="s">
        <v>1881</v>
      </c>
      <c r="L43" s="9" t="s">
        <v>358</v>
      </c>
      <c r="M43" s="9" t="s">
        <v>1857</v>
      </c>
      <c r="N43" s="9" t="s">
        <v>1853</v>
      </c>
      <c r="O43" s="9"/>
      <c r="P43" s="9"/>
      <c r="Q43" s="10"/>
      <c r="R43" s="10"/>
      <c r="S43" s="10"/>
      <c r="T43" s="10"/>
      <c r="U43" s="10"/>
      <c r="V43" s="10"/>
      <c r="W43" s="10"/>
      <c r="X43" s="10"/>
      <c r="Y43" s="10"/>
      <c r="Z43" s="10"/>
    </row>
    <row r="44" spans="1:26" ht="13.5" customHeight="1">
      <c r="A44" s="9" t="s">
        <v>1876</v>
      </c>
      <c r="B44" s="9" t="s">
        <v>1877</v>
      </c>
      <c r="C44" s="9" t="s">
        <v>1878</v>
      </c>
      <c r="D44" s="9" t="s">
        <v>1879</v>
      </c>
      <c r="E44" s="9" t="s">
        <v>182</v>
      </c>
      <c r="F44" s="9" t="s">
        <v>1809</v>
      </c>
      <c r="G44" s="9" t="s">
        <v>1849</v>
      </c>
      <c r="H44" s="9" t="s">
        <v>195</v>
      </c>
      <c r="I44" s="9" t="s">
        <v>74</v>
      </c>
      <c r="J44" s="9" t="s">
        <v>1883</v>
      </c>
      <c r="K44" s="9" t="s">
        <v>1881</v>
      </c>
      <c r="L44" s="9" t="s">
        <v>699</v>
      </c>
      <c r="M44" s="9" t="s">
        <v>1859</v>
      </c>
      <c r="N44" s="9" t="s">
        <v>1853</v>
      </c>
      <c r="O44" s="9"/>
      <c r="P44" s="9"/>
      <c r="Q44" s="10"/>
      <c r="R44" s="10"/>
      <c r="S44" s="10"/>
      <c r="T44" s="10"/>
      <c r="U44" s="10"/>
      <c r="V44" s="10"/>
      <c r="W44" s="10"/>
      <c r="X44" s="10"/>
      <c r="Y44" s="10"/>
      <c r="Z44" s="10"/>
    </row>
    <row r="45" spans="1:26" ht="13.5" customHeight="1">
      <c r="A45" s="9" t="s">
        <v>1876</v>
      </c>
      <c r="B45" s="9" t="s">
        <v>1877</v>
      </c>
      <c r="C45" s="9" t="s">
        <v>1878</v>
      </c>
      <c r="D45" s="9" t="s">
        <v>1879</v>
      </c>
      <c r="E45" s="9" t="s">
        <v>182</v>
      </c>
      <c r="F45" s="9" t="s">
        <v>1811</v>
      </c>
      <c r="G45" s="9" t="s">
        <v>1849</v>
      </c>
      <c r="H45" s="9" t="s">
        <v>256</v>
      </c>
      <c r="I45" s="9" t="s">
        <v>74</v>
      </c>
      <c r="J45" s="9" t="s">
        <v>1883</v>
      </c>
      <c r="K45" s="9" t="s">
        <v>1881</v>
      </c>
      <c r="L45" s="9" t="s">
        <v>699</v>
      </c>
      <c r="M45" s="9" t="s">
        <v>1859</v>
      </c>
      <c r="N45" s="9" t="s">
        <v>1853</v>
      </c>
      <c r="O45" s="9"/>
      <c r="P45" s="9"/>
      <c r="Q45" s="10"/>
      <c r="R45" s="10"/>
      <c r="S45" s="10"/>
      <c r="T45" s="10"/>
      <c r="U45" s="10"/>
      <c r="V45" s="10"/>
      <c r="W45" s="10"/>
      <c r="X45" s="10"/>
      <c r="Y45" s="10"/>
      <c r="Z45" s="10"/>
    </row>
    <row r="46" spans="1:26" ht="13.5" customHeight="1">
      <c r="A46" s="9" t="s">
        <v>1876</v>
      </c>
      <c r="B46" s="9" t="s">
        <v>1877</v>
      </c>
      <c r="C46" s="9" t="s">
        <v>1878</v>
      </c>
      <c r="D46" s="9" t="s">
        <v>1879</v>
      </c>
      <c r="E46" s="9" t="s">
        <v>182</v>
      </c>
      <c r="F46" s="9" t="s">
        <v>323</v>
      </c>
      <c r="G46" s="9" t="s">
        <v>1849</v>
      </c>
      <c r="H46" s="9" t="s">
        <v>335</v>
      </c>
      <c r="I46" s="9" t="s">
        <v>74</v>
      </c>
      <c r="J46" s="9" t="s">
        <v>1883</v>
      </c>
      <c r="K46" s="9" t="s">
        <v>1881</v>
      </c>
      <c r="L46" s="9" t="s">
        <v>358</v>
      </c>
      <c r="M46" s="9" t="s">
        <v>1854</v>
      </c>
      <c r="N46" s="9" t="s">
        <v>1853</v>
      </c>
      <c r="O46" s="9"/>
      <c r="P46" s="9"/>
      <c r="Q46" s="10"/>
      <c r="R46" s="10"/>
      <c r="S46" s="10"/>
      <c r="T46" s="10"/>
      <c r="U46" s="10"/>
      <c r="V46" s="10"/>
      <c r="W46" s="10"/>
      <c r="X46" s="10"/>
      <c r="Y46" s="10"/>
      <c r="Z46" s="10"/>
    </row>
    <row r="47" spans="1:26" ht="13.5" customHeight="1">
      <c r="A47" s="9" t="s">
        <v>1876</v>
      </c>
      <c r="B47" s="9" t="s">
        <v>1877</v>
      </c>
      <c r="C47" s="9" t="s">
        <v>1878</v>
      </c>
      <c r="D47" s="9" t="s">
        <v>1879</v>
      </c>
      <c r="E47" s="9" t="s">
        <v>543</v>
      </c>
      <c r="F47" s="9" t="s">
        <v>544</v>
      </c>
      <c r="G47" s="9" t="s">
        <v>1849</v>
      </c>
      <c r="H47" s="9" t="s">
        <v>557</v>
      </c>
      <c r="I47" s="9" t="s">
        <v>74</v>
      </c>
      <c r="J47" s="9" t="s">
        <v>1884</v>
      </c>
      <c r="K47" s="9" t="s">
        <v>1881</v>
      </c>
      <c r="L47" s="9" t="s">
        <v>358</v>
      </c>
      <c r="M47" s="9" t="s">
        <v>1861</v>
      </c>
      <c r="N47" s="9" t="s">
        <v>1853</v>
      </c>
      <c r="O47" s="9"/>
      <c r="P47" s="9"/>
      <c r="Q47" s="10"/>
      <c r="R47" s="10"/>
      <c r="S47" s="10"/>
      <c r="T47" s="10"/>
      <c r="U47" s="10"/>
      <c r="V47" s="10"/>
      <c r="W47" s="10"/>
      <c r="X47" s="10"/>
      <c r="Y47" s="10"/>
      <c r="Z47" s="10"/>
    </row>
    <row r="48" spans="1:26" ht="13.5" customHeight="1">
      <c r="A48" s="9" t="s">
        <v>1876</v>
      </c>
      <c r="B48" s="9" t="s">
        <v>1877</v>
      </c>
      <c r="C48" s="9" t="s">
        <v>1878</v>
      </c>
      <c r="D48" s="9" t="s">
        <v>1879</v>
      </c>
      <c r="E48" s="9" t="s">
        <v>543</v>
      </c>
      <c r="F48" s="9" t="s">
        <v>598</v>
      </c>
      <c r="G48" s="9" t="s">
        <v>1849</v>
      </c>
      <c r="H48" s="9" t="s">
        <v>610</v>
      </c>
      <c r="I48" s="9" t="s">
        <v>74</v>
      </c>
      <c r="J48" s="9" t="s">
        <v>1884</v>
      </c>
      <c r="K48" s="9" t="s">
        <v>1881</v>
      </c>
      <c r="L48" s="9" t="s">
        <v>358</v>
      </c>
      <c r="M48" s="9" t="s">
        <v>1854</v>
      </c>
      <c r="N48" s="9" t="s">
        <v>1853</v>
      </c>
      <c r="O48" s="9"/>
      <c r="P48" s="9"/>
      <c r="Q48" s="10"/>
      <c r="R48" s="10"/>
      <c r="S48" s="10"/>
      <c r="T48" s="10"/>
      <c r="U48" s="10"/>
      <c r="V48" s="10"/>
      <c r="W48" s="10"/>
      <c r="X48" s="10"/>
      <c r="Y48" s="10"/>
      <c r="Z48" s="10"/>
    </row>
    <row r="49" spans="1:26" ht="13.5" customHeight="1">
      <c r="A49" s="9" t="s">
        <v>1876</v>
      </c>
      <c r="B49" s="9" t="s">
        <v>1877</v>
      </c>
      <c r="C49" s="9" t="s">
        <v>1878</v>
      </c>
      <c r="D49" s="9" t="s">
        <v>1879</v>
      </c>
      <c r="E49" s="9" t="s">
        <v>543</v>
      </c>
      <c r="F49" s="9" t="s">
        <v>1816</v>
      </c>
      <c r="G49" s="9" t="s">
        <v>1849</v>
      </c>
      <c r="H49" s="9" t="s">
        <v>635</v>
      </c>
      <c r="I49" s="9" t="s">
        <v>74</v>
      </c>
      <c r="J49" s="9" t="s">
        <v>1884</v>
      </c>
      <c r="K49" s="9" t="s">
        <v>1881</v>
      </c>
      <c r="L49" s="9" t="s">
        <v>699</v>
      </c>
      <c r="M49" s="9" t="s">
        <v>1852</v>
      </c>
      <c r="N49" s="9" t="s">
        <v>1853</v>
      </c>
      <c r="O49" s="9"/>
      <c r="P49" s="9"/>
      <c r="Q49" s="10"/>
      <c r="R49" s="10"/>
      <c r="S49" s="10"/>
      <c r="T49" s="10"/>
      <c r="U49" s="10"/>
      <c r="V49" s="10"/>
      <c r="W49" s="10"/>
      <c r="X49" s="10"/>
      <c r="Y49" s="10"/>
      <c r="Z49" s="10"/>
    </row>
    <row r="50" spans="1:26" ht="13.5" customHeight="1">
      <c r="A50" s="9" t="s">
        <v>1876</v>
      </c>
      <c r="B50" s="9" t="s">
        <v>1877</v>
      </c>
      <c r="C50" s="9" t="s">
        <v>1878</v>
      </c>
      <c r="D50" s="9" t="s">
        <v>1879</v>
      </c>
      <c r="E50" s="9" t="s">
        <v>543</v>
      </c>
      <c r="F50" s="9" t="s">
        <v>669</v>
      </c>
      <c r="G50" s="9" t="s">
        <v>1849</v>
      </c>
      <c r="H50" s="9" t="s">
        <v>680</v>
      </c>
      <c r="I50" s="9" t="s">
        <v>74</v>
      </c>
      <c r="J50" s="9" t="s">
        <v>1884</v>
      </c>
      <c r="K50" s="9" t="s">
        <v>1881</v>
      </c>
      <c r="L50" s="9" t="s">
        <v>358</v>
      </c>
      <c r="M50" s="9" t="s">
        <v>1854</v>
      </c>
      <c r="N50" s="9" t="s">
        <v>1853</v>
      </c>
      <c r="O50" s="9"/>
      <c r="P50" s="9"/>
      <c r="Q50" s="10"/>
      <c r="R50" s="10"/>
      <c r="S50" s="10"/>
      <c r="T50" s="10"/>
      <c r="U50" s="10"/>
      <c r="V50" s="10"/>
      <c r="W50" s="10"/>
      <c r="X50" s="10"/>
      <c r="Y50" s="10"/>
      <c r="Z50" s="10"/>
    </row>
    <row r="51" spans="1:26" ht="13.5" customHeight="1">
      <c r="A51" s="9" t="s">
        <v>1876</v>
      </c>
      <c r="B51" s="9" t="s">
        <v>1877</v>
      </c>
      <c r="C51" s="9" t="s">
        <v>1878</v>
      </c>
      <c r="D51" s="9" t="s">
        <v>1879</v>
      </c>
      <c r="E51" s="9" t="s">
        <v>697</v>
      </c>
      <c r="F51" s="9" t="s">
        <v>742</v>
      </c>
      <c r="G51" s="9" t="s">
        <v>1849</v>
      </c>
      <c r="H51" s="9" t="s">
        <v>754</v>
      </c>
      <c r="I51" s="9" t="s">
        <v>74</v>
      </c>
      <c r="J51" s="9" t="s">
        <v>1885</v>
      </c>
      <c r="K51" s="9" t="s">
        <v>1881</v>
      </c>
      <c r="L51" s="9" t="s">
        <v>699</v>
      </c>
      <c r="M51" s="9" t="s">
        <v>1863</v>
      </c>
      <c r="N51" s="9" t="s">
        <v>1853</v>
      </c>
      <c r="O51" s="9"/>
      <c r="P51" s="9"/>
      <c r="Q51" s="10"/>
      <c r="R51" s="10"/>
      <c r="S51" s="10"/>
      <c r="T51" s="10"/>
      <c r="U51" s="10"/>
      <c r="V51" s="10"/>
      <c r="W51" s="10"/>
      <c r="X51" s="10"/>
      <c r="Y51" s="10"/>
      <c r="Z51" s="10"/>
    </row>
    <row r="52" spans="1:26" ht="13.5" customHeight="1">
      <c r="A52" s="9" t="s">
        <v>1876</v>
      </c>
      <c r="B52" s="9" t="s">
        <v>1877</v>
      </c>
      <c r="C52" s="9" t="s">
        <v>1878</v>
      </c>
      <c r="D52" s="9" t="s">
        <v>1879</v>
      </c>
      <c r="E52" s="9" t="s">
        <v>859</v>
      </c>
      <c r="F52" s="9" t="s">
        <v>935</v>
      </c>
      <c r="G52" s="9" t="s">
        <v>1849</v>
      </c>
      <c r="H52" s="9" t="s">
        <v>947</v>
      </c>
      <c r="I52" s="9" t="s">
        <v>948</v>
      </c>
      <c r="J52" s="9" t="s">
        <v>1886</v>
      </c>
      <c r="K52" s="9" t="s">
        <v>1881</v>
      </c>
      <c r="L52" s="9" t="s">
        <v>699</v>
      </c>
      <c r="M52" s="9" t="s">
        <v>1865</v>
      </c>
      <c r="N52" s="9" t="s">
        <v>1853</v>
      </c>
      <c r="O52" s="9"/>
      <c r="P52" s="9"/>
      <c r="Q52" s="10"/>
      <c r="R52" s="10"/>
      <c r="S52" s="10"/>
      <c r="T52" s="10"/>
      <c r="U52" s="10"/>
      <c r="V52" s="10"/>
      <c r="W52" s="10"/>
      <c r="X52" s="10"/>
      <c r="Y52" s="10"/>
      <c r="Z52" s="10"/>
    </row>
    <row r="53" spans="1:26" ht="13.5" customHeight="1">
      <c r="A53" s="9" t="s">
        <v>1887</v>
      </c>
      <c r="B53" s="9" t="s">
        <v>1888</v>
      </c>
      <c r="C53" s="9" t="s">
        <v>1889</v>
      </c>
      <c r="D53" s="9" t="s">
        <v>1890</v>
      </c>
      <c r="E53" s="9" t="s">
        <v>1061</v>
      </c>
      <c r="F53" s="9" t="s">
        <v>1795</v>
      </c>
      <c r="G53" s="9" t="s">
        <v>1849</v>
      </c>
      <c r="H53" s="9" t="s">
        <v>1076</v>
      </c>
      <c r="I53" s="9" t="s">
        <v>77</v>
      </c>
      <c r="J53" s="9" t="s">
        <v>1891</v>
      </c>
      <c r="K53" s="9" t="s">
        <v>1892</v>
      </c>
      <c r="L53" s="9" t="s">
        <v>57</v>
      </c>
      <c r="M53" s="9" t="s">
        <v>1852</v>
      </c>
      <c r="N53" s="9" t="s">
        <v>1853</v>
      </c>
      <c r="O53" s="9"/>
      <c r="P53" s="9"/>
      <c r="Q53" s="10"/>
      <c r="R53" s="10"/>
      <c r="S53" s="10"/>
      <c r="T53" s="10"/>
      <c r="U53" s="10"/>
      <c r="V53" s="10"/>
      <c r="W53" s="10"/>
      <c r="X53" s="10"/>
      <c r="Y53" s="10"/>
      <c r="Z53" s="10"/>
    </row>
    <row r="54" spans="1:26" ht="13.5" customHeight="1">
      <c r="A54" s="9" t="s">
        <v>1887</v>
      </c>
      <c r="B54" s="9" t="s">
        <v>1888</v>
      </c>
      <c r="C54" s="9" t="s">
        <v>1889</v>
      </c>
      <c r="D54" s="9" t="s">
        <v>1890</v>
      </c>
      <c r="E54" s="9" t="s">
        <v>1061</v>
      </c>
      <c r="F54" s="9" t="s">
        <v>1798</v>
      </c>
      <c r="G54" s="9" t="s">
        <v>1849</v>
      </c>
      <c r="H54" s="9" t="s">
        <v>1119</v>
      </c>
      <c r="I54" s="9" t="s">
        <v>77</v>
      </c>
      <c r="J54" s="9" t="s">
        <v>1891</v>
      </c>
      <c r="K54" s="9" t="s">
        <v>1892</v>
      </c>
      <c r="L54" s="9" t="s">
        <v>57</v>
      </c>
      <c r="M54" s="9" t="s">
        <v>1852</v>
      </c>
      <c r="N54" s="9" t="s">
        <v>1853</v>
      </c>
      <c r="O54" s="9"/>
      <c r="P54" s="9"/>
      <c r="Q54" s="10"/>
      <c r="R54" s="10"/>
      <c r="S54" s="10"/>
      <c r="T54" s="10"/>
      <c r="U54" s="10"/>
      <c r="V54" s="10"/>
      <c r="W54" s="10"/>
      <c r="X54" s="10"/>
      <c r="Y54" s="10"/>
      <c r="Z54" s="10"/>
    </row>
    <row r="55" spans="1:26" ht="13.5" customHeight="1">
      <c r="A55" s="9" t="s">
        <v>1887</v>
      </c>
      <c r="B55" s="9" t="s">
        <v>1888</v>
      </c>
      <c r="C55" s="9" t="s">
        <v>1889</v>
      </c>
      <c r="D55" s="9" t="s">
        <v>1890</v>
      </c>
      <c r="E55" s="9" t="s">
        <v>1061</v>
      </c>
      <c r="F55" s="9" t="s">
        <v>1800</v>
      </c>
      <c r="G55" s="9" t="s">
        <v>1849</v>
      </c>
      <c r="H55" s="9" t="s">
        <v>1154</v>
      </c>
      <c r="I55" s="9" t="s">
        <v>77</v>
      </c>
      <c r="J55" s="9" t="s">
        <v>1891</v>
      </c>
      <c r="K55" s="9" t="s">
        <v>1892</v>
      </c>
      <c r="L55" s="9" t="s">
        <v>57</v>
      </c>
      <c r="M55" s="9" t="s">
        <v>1852</v>
      </c>
      <c r="N55" s="9" t="s">
        <v>1853</v>
      </c>
      <c r="O55" s="9"/>
      <c r="P55" s="9"/>
      <c r="Q55" s="10"/>
      <c r="R55" s="10"/>
      <c r="S55" s="10"/>
      <c r="T55" s="10"/>
      <c r="U55" s="10"/>
      <c r="V55" s="10"/>
      <c r="W55" s="10"/>
      <c r="X55" s="10"/>
      <c r="Y55" s="10"/>
      <c r="Z55" s="10"/>
    </row>
    <row r="56" spans="1:26" ht="13.5" customHeight="1">
      <c r="A56" s="9" t="s">
        <v>1887</v>
      </c>
      <c r="B56" s="9" t="s">
        <v>1888</v>
      </c>
      <c r="C56" s="9" t="s">
        <v>1889</v>
      </c>
      <c r="D56" s="9" t="s">
        <v>1890</v>
      </c>
      <c r="E56" s="9" t="s">
        <v>1061</v>
      </c>
      <c r="F56" s="9" t="s">
        <v>1802</v>
      </c>
      <c r="G56" s="9" t="s">
        <v>1849</v>
      </c>
      <c r="H56" s="9" t="s">
        <v>1176</v>
      </c>
      <c r="I56" s="9" t="s">
        <v>77</v>
      </c>
      <c r="J56" s="9" t="s">
        <v>1891</v>
      </c>
      <c r="K56" s="9" t="s">
        <v>1892</v>
      </c>
      <c r="L56" s="9" t="s">
        <v>57</v>
      </c>
      <c r="M56" s="9" t="s">
        <v>1854</v>
      </c>
      <c r="N56" s="9" t="s">
        <v>1853</v>
      </c>
      <c r="O56" s="9"/>
      <c r="P56" s="9"/>
      <c r="Q56" s="10"/>
      <c r="R56" s="10"/>
      <c r="S56" s="10"/>
      <c r="T56" s="10"/>
      <c r="U56" s="10"/>
      <c r="V56" s="10"/>
      <c r="W56" s="10"/>
      <c r="X56" s="10"/>
      <c r="Y56" s="10"/>
      <c r="Z56" s="10"/>
    </row>
    <row r="57" spans="1:26" ht="13.5" customHeight="1">
      <c r="A57" s="9" t="s">
        <v>1887</v>
      </c>
      <c r="B57" s="9" t="s">
        <v>1888</v>
      </c>
      <c r="C57" s="9" t="s">
        <v>1889</v>
      </c>
      <c r="D57" s="9" t="s">
        <v>1890</v>
      </c>
      <c r="E57" s="9" t="s">
        <v>1061</v>
      </c>
      <c r="F57" s="9" t="s">
        <v>1804</v>
      </c>
      <c r="G57" s="9" t="s">
        <v>1849</v>
      </c>
      <c r="H57" s="9" t="s">
        <v>1191</v>
      </c>
      <c r="I57" s="9" t="s">
        <v>77</v>
      </c>
      <c r="J57" s="9" t="s">
        <v>1891</v>
      </c>
      <c r="K57" s="9" t="s">
        <v>1892</v>
      </c>
      <c r="L57" s="9" t="s">
        <v>57</v>
      </c>
      <c r="M57" s="9" t="s">
        <v>1855</v>
      </c>
      <c r="N57" s="9" t="s">
        <v>1853</v>
      </c>
      <c r="O57" s="9"/>
      <c r="P57" s="9"/>
      <c r="Q57" s="10"/>
      <c r="R57" s="10"/>
      <c r="S57" s="10"/>
      <c r="T57" s="10"/>
      <c r="U57" s="10"/>
      <c r="V57" s="10"/>
      <c r="W57" s="10"/>
      <c r="X57" s="10"/>
      <c r="Y57" s="10"/>
      <c r="Z57" s="10"/>
    </row>
    <row r="58" spans="1:26" ht="13.5" customHeight="1">
      <c r="A58" s="9" t="s">
        <v>1887</v>
      </c>
      <c r="B58" s="9" t="s">
        <v>1888</v>
      </c>
      <c r="C58" s="9" t="s">
        <v>1889</v>
      </c>
      <c r="D58" s="9" t="s">
        <v>1890</v>
      </c>
      <c r="E58" s="9" t="s">
        <v>55</v>
      </c>
      <c r="F58" s="9" t="s">
        <v>59</v>
      </c>
      <c r="G58" s="9" t="s">
        <v>1849</v>
      </c>
      <c r="H58" s="9" t="s">
        <v>76</v>
      </c>
      <c r="I58" s="9" t="s">
        <v>77</v>
      </c>
      <c r="J58" s="9" t="s">
        <v>1893</v>
      </c>
      <c r="K58" s="9" t="s">
        <v>1892</v>
      </c>
      <c r="L58" s="9" t="s">
        <v>699</v>
      </c>
      <c r="M58" s="9" t="s">
        <v>1854</v>
      </c>
      <c r="N58" s="9" t="s">
        <v>1853</v>
      </c>
      <c r="O58" s="9"/>
      <c r="P58" s="9"/>
      <c r="Q58" s="10"/>
      <c r="R58" s="10"/>
      <c r="S58" s="10"/>
      <c r="T58" s="10"/>
      <c r="U58" s="10"/>
      <c r="V58" s="10"/>
      <c r="W58" s="10"/>
      <c r="X58" s="10"/>
      <c r="Y58" s="10"/>
      <c r="Z58" s="10"/>
    </row>
    <row r="59" spans="1:26" ht="13.5" customHeight="1">
      <c r="A59" s="9" t="s">
        <v>1887</v>
      </c>
      <c r="B59" s="9" t="s">
        <v>1888</v>
      </c>
      <c r="C59" s="9" t="s">
        <v>1889</v>
      </c>
      <c r="D59" s="9" t="s">
        <v>1890</v>
      </c>
      <c r="E59" s="9" t="s">
        <v>55</v>
      </c>
      <c r="F59" s="9" t="s">
        <v>111</v>
      </c>
      <c r="G59" s="9" t="s">
        <v>1849</v>
      </c>
      <c r="H59" s="9" t="s">
        <v>124</v>
      </c>
      <c r="I59" s="9" t="s">
        <v>77</v>
      </c>
      <c r="J59" s="9" t="s">
        <v>1893</v>
      </c>
      <c r="K59" s="9" t="s">
        <v>1892</v>
      </c>
      <c r="L59" s="9" t="s">
        <v>699</v>
      </c>
      <c r="M59" s="9" t="s">
        <v>1854</v>
      </c>
      <c r="N59" s="9" t="s">
        <v>1853</v>
      </c>
      <c r="O59" s="9"/>
      <c r="P59" s="9"/>
      <c r="Q59" s="10"/>
      <c r="R59" s="10"/>
      <c r="S59" s="10"/>
      <c r="T59" s="10"/>
      <c r="U59" s="10"/>
      <c r="V59" s="10"/>
      <c r="W59" s="10"/>
      <c r="X59" s="10"/>
      <c r="Y59" s="10"/>
      <c r="Z59" s="10"/>
    </row>
    <row r="60" spans="1:26" ht="13.5" customHeight="1">
      <c r="A60" s="9" t="s">
        <v>1887</v>
      </c>
      <c r="B60" s="9" t="s">
        <v>1888</v>
      </c>
      <c r="C60" s="9" t="s">
        <v>1889</v>
      </c>
      <c r="D60" s="9" t="s">
        <v>1890</v>
      </c>
      <c r="E60" s="9" t="s">
        <v>55</v>
      </c>
      <c r="F60" s="9" t="s">
        <v>161</v>
      </c>
      <c r="G60" s="9" t="s">
        <v>1849</v>
      </c>
      <c r="H60" s="9" t="s">
        <v>174</v>
      </c>
      <c r="I60" s="9" t="s">
        <v>77</v>
      </c>
      <c r="J60" s="9" t="s">
        <v>1893</v>
      </c>
      <c r="K60" s="9" t="s">
        <v>1892</v>
      </c>
      <c r="L60" s="9" t="s">
        <v>358</v>
      </c>
      <c r="M60" s="9" t="s">
        <v>1857</v>
      </c>
      <c r="N60" s="9" t="s">
        <v>1853</v>
      </c>
      <c r="O60" s="9"/>
      <c r="P60" s="9"/>
      <c r="Q60" s="10"/>
      <c r="R60" s="10"/>
      <c r="S60" s="10"/>
      <c r="T60" s="10"/>
      <c r="U60" s="10"/>
      <c r="V60" s="10"/>
      <c r="W60" s="10"/>
      <c r="X60" s="10"/>
      <c r="Y60" s="10"/>
      <c r="Z60" s="10"/>
    </row>
    <row r="61" spans="1:26" ht="13.5" customHeight="1">
      <c r="A61" s="9" t="s">
        <v>1887</v>
      </c>
      <c r="B61" s="9" t="s">
        <v>1888</v>
      </c>
      <c r="C61" s="9" t="s">
        <v>1889</v>
      </c>
      <c r="D61" s="9" t="s">
        <v>1890</v>
      </c>
      <c r="E61" s="9" t="s">
        <v>182</v>
      </c>
      <c r="F61" s="9" t="s">
        <v>1809</v>
      </c>
      <c r="G61" s="9" t="s">
        <v>1849</v>
      </c>
      <c r="H61" s="9" t="s">
        <v>197</v>
      </c>
      <c r="I61" s="9" t="s">
        <v>198</v>
      </c>
      <c r="J61" s="9" t="s">
        <v>1894</v>
      </c>
      <c r="K61" s="9" t="s">
        <v>1892</v>
      </c>
      <c r="L61" s="9" t="s">
        <v>699</v>
      </c>
      <c r="M61" s="9" t="s">
        <v>1859</v>
      </c>
      <c r="N61" s="9" t="s">
        <v>1853</v>
      </c>
      <c r="O61" s="9"/>
      <c r="P61" s="9"/>
      <c r="Q61" s="10"/>
      <c r="R61" s="10"/>
      <c r="S61" s="10"/>
      <c r="T61" s="10"/>
      <c r="U61" s="10"/>
      <c r="V61" s="10"/>
      <c r="W61" s="10"/>
      <c r="X61" s="10"/>
      <c r="Y61" s="10"/>
      <c r="Z61" s="10"/>
    </row>
    <row r="62" spans="1:26" ht="13.5" customHeight="1">
      <c r="A62" s="9" t="s">
        <v>1887</v>
      </c>
      <c r="B62" s="9" t="s">
        <v>1888</v>
      </c>
      <c r="C62" s="9" t="s">
        <v>1889</v>
      </c>
      <c r="D62" s="9" t="s">
        <v>1890</v>
      </c>
      <c r="E62" s="9" t="s">
        <v>182</v>
      </c>
      <c r="F62" s="9" t="s">
        <v>1811</v>
      </c>
      <c r="G62" s="9" t="s">
        <v>1849</v>
      </c>
      <c r="H62" s="9" t="s">
        <v>258</v>
      </c>
      <c r="I62" s="9" t="s">
        <v>198</v>
      </c>
      <c r="J62" s="9" t="s">
        <v>1894</v>
      </c>
      <c r="K62" s="9" t="s">
        <v>1892</v>
      </c>
      <c r="L62" s="9" t="s">
        <v>699</v>
      </c>
      <c r="M62" s="9" t="s">
        <v>1859</v>
      </c>
      <c r="N62" s="9" t="s">
        <v>1853</v>
      </c>
      <c r="O62" s="9"/>
      <c r="P62" s="9"/>
      <c r="Q62" s="10"/>
      <c r="R62" s="10"/>
      <c r="S62" s="10"/>
      <c r="T62" s="10"/>
      <c r="U62" s="10"/>
      <c r="V62" s="10"/>
      <c r="W62" s="10"/>
      <c r="X62" s="10"/>
      <c r="Y62" s="10"/>
      <c r="Z62" s="10"/>
    </row>
    <row r="63" spans="1:26" ht="13.5" customHeight="1">
      <c r="A63" s="9" t="s">
        <v>1887</v>
      </c>
      <c r="B63" s="9" t="s">
        <v>1888</v>
      </c>
      <c r="C63" s="9" t="s">
        <v>1889</v>
      </c>
      <c r="D63" s="9" t="s">
        <v>1890</v>
      </c>
      <c r="E63" s="9" t="s">
        <v>182</v>
      </c>
      <c r="F63" s="9" t="s">
        <v>323</v>
      </c>
      <c r="G63" s="9" t="s">
        <v>1849</v>
      </c>
      <c r="H63" s="9" t="s">
        <v>337</v>
      </c>
      <c r="I63" s="9" t="s">
        <v>198</v>
      </c>
      <c r="J63" s="9" t="s">
        <v>1894</v>
      </c>
      <c r="K63" s="9" t="s">
        <v>1892</v>
      </c>
      <c r="L63" s="9" t="s">
        <v>358</v>
      </c>
      <c r="M63" s="9" t="s">
        <v>1854</v>
      </c>
      <c r="N63" s="9" t="s">
        <v>1853</v>
      </c>
      <c r="O63" s="9"/>
      <c r="P63" s="9"/>
      <c r="Q63" s="10"/>
      <c r="R63" s="10"/>
      <c r="S63" s="10"/>
      <c r="T63" s="10"/>
      <c r="U63" s="10"/>
      <c r="V63" s="10"/>
      <c r="W63" s="10"/>
      <c r="X63" s="10"/>
      <c r="Y63" s="10"/>
      <c r="Z63" s="10"/>
    </row>
    <row r="64" spans="1:26" ht="13.5" customHeight="1">
      <c r="A64" s="9" t="s">
        <v>1887</v>
      </c>
      <c r="B64" s="9" t="s">
        <v>1888</v>
      </c>
      <c r="C64" s="9" t="s">
        <v>1889</v>
      </c>
      <c r="D64" s="9" t="s">
        <v>1890</v>
      </c>
      <c r="E64" s="9" t="s">
        <v>543</v>
      </c>
      <c r="F64" s="9" t="s">
        <v>544</v>
      </c>
      <c r="G64" s="9" t="s">
        <v>1849</v>
      </c>
      <c r="H64" s="9" t="s">
        <v>559</v>
      </c>
      <c r="I64" s="9" t="s">
        <v>77</v>
      </c>
      <c r="J64" s="9" t="s">
        <v>1895</v>
      </c>
      <c r="K64" s="9" t="s">
        <v>1892</v>
      </c>
      <c r="L64" s="9" t="s">
        <v>358</v>
      </c>
      <c r="M64" s="9" t="s">
        <v>1861</v>
      </c>
      <c r="N64" s="9" t="s">
        <v>1853</v>
      </c>
      <c r="O64" s="9"/>
      <c r="P64" s="9"/>
      <c r="Q64" s="10"/>
      <c r="R64" s="10"/>
      <c r="S64" s="10"/>
      <c r="T64" s="10"/>
      <c r="U64" s="10"/>
      <c r="V64" s="10"/>
      <c r="W64" s="10"/>
      <c r="X64" s="10"/>
      <c r="Y64" s="10"/>
      <c r="Z64" s="10"/>
    </row>
    <row r="65" spans="1:26" ht="13.5" customHeight="1">
      <c r="A65" s="9" t="s">
        <v>1887</v>
      </c>
      <c r="B65" s="9" t="s">
        <v>1888</v>
      </c>
      <c r="C65" s="9" t="s">
        <v>1889</v>
      </c>
      <c r="D65" s="9" t="s">
        <v>1890</v>
      </c>
      <c r="E65" s="9" t="s">
        <v>543</v>
      </c>
      <c r="F65" s="9" t="s">
        <v>598</v>
      </c>
      <c r="G65" s="9" t="s">
        <v>1849</v>
      </c>
      <c r="H65" s="9" t="s">
        <v>612</v>
      </c>
      <c r="I65" s="9" t="s">
        <v>77</v>
      </c>
      <c r="J65" s="9" t="s">
        <v>1895</v>
      </c>
      <c r="K65" s="9" t="s">
        <v>1892</v>
      </c>
      <c r="L65" s="9" t="s">
        <v>358</v>
      </c>
      <c r="M65" s="9" t="s">
        <v>1854</v>
      </c>
      <c r="N65" s="9" t="s">
        <v>1853</v>
      </c>
      <c r="O65" s="9"/>
      <c r="P65" s="9"/>
      <c r="Q65" s="10"/>
      <c r="R65" s="10"/>
      <c r="S65" s="10"/>
      <c r="T65" s="10"/>
      <c r="U65" s="10"/>
      <c r="V65" s="10"/>
      <c r="W65" s="10"/>
      <c r="X65" s="10"/>
      <c r="Y65" s="10"/>
      <c r="Z65" s="10"/>
    </row>
    <row r="66" spans="1:26" ht="13.5" customHeight="1">
      <c r="A66" s="9" t="s">
        <v>1887</v>
      </c>
      <c r="B66" s="9" t="s">
        <v>1888</v>
      </c>
      <c r="C66" s="9" t="s">
        <v>1889</v>
      </c>
      <c r="D66" s="9" t="s">
        <v>1890</v>
      </c>
      <c r="E66" s="9" t="s">
        <v>543</v>
      </c>
      <c r="F66" s="9" t="s">
        <v>1816</v>
      </c>
      <c r="G66" s="9" t="s">
        <v>1849</v>
      </c>
      <c r="H66" s="9" t="s">
        <v>637</v>
      </c>
      <c r="I66" s="9" t="s">
        <v>77</v>
      </c>
      <c r="J66" s="9" t="s">
        <v>1895</v>
      </c>
      <c r="K66" s="9" t="s">
        <v>1892</v>
      </c>
      <c r="L66" s="9" t="s">
        <v>699</v>
      </c>
      <c r="M66" s="9" t="s">
        <v>1852</v>
      </c>
      <c r="N66" s="9" t="s">
        <v>1853</v>
      </c>
      <c r="O66" s="9"/>
      <c r="P66" s="9"/>
      <c r="Q66" s="10"/>
      <c r="R66" s="10"/>
      <c r="S66" s="10"/>
      <c r="T66" s="10"/>
      <c r="U66" s="10"/>
      <c r="V66" s="10"/>
      <c r="W66" s="10"/>
      <c r="X66" s="10"/>
      <c r="Y66" s="10"/>
      <c r="Z66" s="10"/>
    </row>
    <row r="67" spans="1:26" ht="13.5" customHeight="1">
      <c r="A67" s="9" t="s">
        <v>1887</v>
      </c>
      <c r="B67" s="9" t="s">
        <v>1888</v>
      </c>
      <c r="C67" s="9" t="s">
        <v>1889</v>
      </c>
      <c r="D67" s="9" t="s">
        <v>1890</v>
      </c>
      <c r="E67" s="9" t="s">
        <v>543</v>
      </c>
      <c r="F67" s="9" t="s">
        <v>669</v>
      </c>
      <c r="G67" s="9" t="s">
        <v>1849</v>
      </c>
      <c r="H67" s="9" t="s">
        <v>682</v>
      </c>
      <c r="I67" s="9" t="s">
        <v>77</v>
      </c>
      <c r="J67" s="9" t="s">
        <v>1895</v>
      </c>
      <c r="K67" s="9" t="s">
        <v>1892</v>
      </c>
      <c r="L67" s="9" t="s">
        <v>358</v>
      </c>
      <c r="M67" s="9" t="s">
        <v>1854</v>
      </c>
      <c r="N67" s="9" t="s">
        <v>1853</v>
      </c>
      <c r="O67" s="9"/>
      <c r="P67" s="9"/>
      <c r="Q67" s="10"/>
      <c r="R67" s="10"/>
      <c r="S67" s="10"/>
      <c r="T67" s="10"/>
      <c r="U67" s="10"/>
      <c r="V67" s="10"/>
      <c r="W67" s="10"/>
      <c r="X67" s="10"/>
      <c r="Y67" s="10"/>
      <c r="Z67" s="10"/>
    </row>
    <row r="68" spans="1:26" ht="13.5" customHeight="1">
      <c r="A68" s="9" t="s">
        <v>1887</v>
      </c>
      <c r="B68" s="9" t="s">
        <v>1888</v>
      </c>
      <c r="C68" s="9" t="s">
        <v>1889</v>
      </c>
      <c r="D68" s="9" t="s">
        <v>1890</v>
      </c>
      <c r="E68" s="9" t="s">
        <v>697</v>
      </c>
      <c r="F68" s="9" t="s">
        <v>742</v>
      </c>
      <c r="G68" s="9" t="s">
        <v>1849</v>
      </c>
      <c r="H68" s="9" t="s">
        <v>756</v>
      </c>
      <c r="I68" s="9" t="s">
        <v>77</v>
      </c>
      <c r="J68" s="9" t="s">
        <v>1896</v>
      </c>
      <c r="K68" s="9" t="s">
        <v>1892</v>
      </c>
      <c r="L68" s="9" t="s">
        <v>699</v>
      </c>
      <c r="M68" s="9" t="s">
        <v>1863</v>
      </c>
      <c r="N68" s="9" t="s">
        <v>1853</v>
      </c>
      <c r="O68" s="9"/>
      <c r="P68" s="9"/>
      <c r="Q68" s="10"/>
      <c r="R68" s="10"/>
      <c r="S68" s="10"/>
      <c r="T68" s="10"/>
      <c r="U68" s="10"/>
      <c r="V68" s="10"/>
      <c r="W68" s="10"/>
      <c r="X68" s="10"/>
      <c r="Y68" s="10"/>
      <c r="Z68" s="10"/>
    </row>
    <row r="69" spans="1:26" ht="13.5" customHeight="1">
      <c r="A69" s="9" t="s">
        <v>1887</v>
      </c>
      <c r="B69" s="9" t="s">
        <v>1888</v>
      </c>
      <c r="C69" s="9" t="s">
        <v>1889</v>
      </c>
      <c r="D69" s="9" t="s">
        <v>1890</v>
      </c>
      <c r="E69" s="9" t="s">
        <v>859</v>
      </c>
      <c r="F69" s="9" t="s">
        <v>935</v>
      </c>
      <c r="G69" s="9" t="s">
        <v>1849</v>
      </c>
      <c r="H69" s="9" t="s">
        <v>950</v>
      </c>
      <c r="I69" s="9" t="s">
        <v>77</v>
      </c>
      <c r="J69" s="9" t="s">
        <v>1897</v>
      </c>
      <c r="K69" s="9" t="s">
        <v>1892</v>
      </c>
      <c r="L69" s="9" t="s">
        <v>699</v>
      </c>
      <c r="M69" s="9" t="s">
        <v>1865</v>
      </c>
      <c r="N69" s="9" t="s">
        <v>1853</v>
      </c>
      <c r="O69" s="9"/>
      <c r="P69" s="9"/>
      <c r="Q69" s="10"/>
      <c r="R69" s="10"/>
      <c r="S69" s="10"/>
      <c r="T69" s="10"/>
      <c r="U69" s="10"/>
      <c r="V69" s="10"/>
      <c r="W69" s="10"/>
      <c r="X69" s="10"/>
      <c r="Y69" s="10"/>
      <c r="Z69" s="10"/>
    </row>
    <row r="70" spans="1:26" ht="13.5" customHeight="1">
      <c r="A70" s="9" t="s">
        <v>1898</v>
      </c>
      <c r="B70" s="9" t="s">
        <v>1899</v>
      </c>
      <c r="C70" s="9" t="s">
        <v>1900</v>
      </c>
      <c r="D70" s="9" t="s">
        <v>1901</v>
      </c>
      <c r="E70" s="9" t="s">
        <v>1061</v>
      </c>
      <c r="F70" s="9" t="s">
        <v>1795</v>
      </c>
      <c r="G70" s="9" t="s">
        <v>1849</v>
      </c>
      <c r="H70" s="9" t="s">
        <v>1078</v>
      </c>
      <c r="I70" s="9" t="s">
        <v>80</v>
      </c>
      <c r="J70" s="9" t="s">
        <v>1902</v>
      </c>
      <c r="K70" s="9" t="s">
        <v>1903</v>
      </c>
      <c r="L70" s="9" t="s">
        <v>57</v>
      </c>
      <c r="M70" s="9" t="s">
        <v>1852</v>
      </c>
      <c r="N70" s="9" t="s">
        <v>1853</v>
      </c>
      <c r="O70" s="9"/>
      <c r="P70" s="9"/>
      <c r="Q70" s="10"/>
      <c r="R70" s="10"/>
      <c r="S70" s="10"/>
      <c r="T70" s="10"/>
      <c r="U70" s="10"/>
      <c r="V70" s="10"/>
      <c r="W70" s="10"/>
      <c r="X70" s="10"/>
      <c r="Y70" s="10"/>
      <c r="Z70" s="10"/>
    </row>
    <row r="71" spans="1:26" ht="13.5" customHeight="1">
      <c r="A71" s="9" t="s">
        <v>1898</v>
      </c>
      <c r="B71" s="9" t="s">
        <v>1899</v>
      </c>
      <c r="C71" s="9" t="s">
        <v>1900</v>
      </c>
      <c r="D71" s="9" t="s">
        <v>1901</v>
      </c>
      <c r="E71" s="9" t="s">
        <v>1061</v>
      </c>
      <c r="F71" s="9" t="s">
        <v>1798</v>
      </c>
      <c r="G71" s="9" t="s">
        <v>1849</v>
      </c>
      <c r="H71" s="9" t="s">
        <v>1120</v>
      </c>
      <c r="I71" s="9" t="s">
        <v>80</v>
      </c>
      <c r="J71" s="9" t="s">
        <v>1902</v>
      </c>
      <c r="K71" s="9" t="s">
        <v>1903</v>
      </c>
      <c r="L71" s="9" t="s">
        <v>57</v>
      </c>
      <c r="M71" s="9" t="s">
        <v>1852</v>
      </c>
      <c r="N71" s="9" t="s">
        <v>1853</v>
      </c>
      <c r="O71" s="9"/>
      <c r="P71" s="9"/>
      <c r="Q71" s="10"/>
      <c r="R71" s="10"/>
      <c r="S71" s="10"/>
      <c r="T71" s="10"/>
      <c r="U71" s="10"/>
      <c r="V71" s="10"/>
      <c r="W71" s="10"/>
      <c r="X71" s="10"/>
      <c r="Y71" s="10"/>
      <c r="Z71" s="10"/>
    </row>
    <row r="72" spans="1:26" ht="13.5" customHeight="1">
      <c r="A72" s="9" t="s">
        <v>1898</v>
      </c>
      <c r="B72" s="9" t="s">
        <v>1899</v>
      </c>
      <c r="C72" s="9" t="s">
        <v>1900</v>
      </c>
      <c r="D72" s="9" t="s">
        <v>1901</v>
      </c>
      <c r="E72" s="9" t="s">
        <v>1061</v>
      </c>
      <c r="F72" s="9" t="s">
        <v>1800</v>
      </c>
      <c r="G72" s="9" t="s">
        <v>1849</v>
      </c>
      <c r="H72" s="9" t="s">
        <v>1155</v>
      </c>
      <c r="I72" s="9" t="s">
        <v>80</v>
      </c>
      <c r="J72" s="9" t="s">
        <v>1902</v>
      </c>
      <c r="K72" s="9" t="s">
        <v>1903</v>
      </c>
      <c r="L72" s="9" t="s">
        <v>57</v>
      </c>
      <c r="M72" s="9" t="s">
        <v>1852</v>
      </c>
      <c r="N72" s="9" t="s">
        <v>1853</v>
      </c>
      <c r="O72" s="9"/>
      <c r="P72" s="9"/>
      <c r="Q72" s="10"/>
      <c r="R72" s="10"/>
      <c r="S72" s="10"/>
      <c r="T72" s="10"/>
      <c r="U72" s="10"/>
      <c r="V72" s="10"/>
      <c r="W72" s="10"/>
      <c r="X72" s="10"/>
      <c r="Y72" s="10"/>
      <c r="Z72" s="10"/>
    </row>
    <row r="73" spans="1:26" ht="13.5" customHeight="1">
      <c r="A73" s="9" t="s">
        <v>1898</v>
      </c>
      <c r="B73" s="9" t="s">
        <v>1899</v>
      </c>
      <c r="C73" s="9" t="s">
        <v>1900</v>
      </c>
      <c r="D73" s="9" t="s">
        <v>1901</v>
      </c>
      <c r="E73" s="9" t="s">
        <v>1061</v>
      </c>
      <c r="F73" s="9" t="s">
        <v>1802</v>
      </c>
      <c r="G73" s="9" t="s">
        <v>1849</v>
      </c>
      <c r="H73" s="9" t="s">
        <v>1177</v>
      </c>
      <c r="I73" s="9" t="s">
        <v>80</v>
      </c>
      <c r="J73" s="9" t="s">
        <v>1902</v>
      </c>
      <c r="K73" s="9" t="s">
        <v>1903</v>
      </c>
      <c r="L73" s="9" t="s">
        <v>57</v>
      </c>
      <c r="M73" s="9" t="s">
        <v>1854</v>
      </c>
      <c r="N73" s="9" t="s">
        <v>1853</v>
      </c>
      <c r="O73" s="9"/>
      <c r="P73" s="9"/>
      <c r="Q73" s="10"/>
      <c r="R73" s="10"/>
      <c r="S73" s="10"/>
      <c r="T73" s="10"/>
      <c r="U73" s="10"/>
      <c r="V73" s="10"/>
      <c r="W73" s="10"/>
      <c r="X73" s="10"/>
      <c r="Y73" s="10"/>
      <c r="Z73" s="10"/>
    </row>
    <row r="74" spans="1:26" ht="13.5" customHeight="1">
      <c r="A74" s="9" t="s">
        <v>1898</v>
      </c>
      <c r="B74" s="9" t="s">
        <v>1899</v>
      </c>
      <c r="C74" s="9" t="s">
        <v>1900</v>
      </c>
      <c r="D74" s="9" t="s">
        <v>1901</v>
      </c>
      <c r="E74" s="9" t="s">
        <v>1061</v>
      </c>
      <c r="F74" s="9" t="s">
        <v>1804</v>
      </c>
      <c r="G74" s="9" t="s">
        <v>1849</v>
      </c>
      <c r="H74" s="9" t="s">
        <v>1192</v>
      </c>
      <c r="I74" s="9" t="s">
        <v>80</v>
      </c>
      <c r="J74" s="9" t="s">
        <v>1902</v>
      </c>
      <c r="K74" s="9" t="s">
        <v>1903</v>
      </c>
      <c r="L74" s="9" t="s">
        <v>57</v>
      </c>
      <c r="M74" s="9" t="s">
        <v>1855</v>
      </c>
      <c r="N74" s="9" t="s">
        <v>1853</v>
      </c>
      <c r="O74" s="9"/>
      <c r="P74" s="9"/>
      <c r="Q74" s="10"/>
      <c r="R74" s="10"/>
      <c r="S74" s="10"/>
      <c r="T74" s="10"/>
      <c r="U74" s="10"/>
      <c r="V74" s="10"/>
      <c r="W74" s="10"/>
      <c r="X74" s="10"/>
      <c r="Y74" s="10"/>
      <c r="Z74" s="10"/>
    </row>
    <row r="75" spans="1:26" ht="13.5" customHeight="1">
      <c r="A75" s="9" t="s">
        <v>1898</v>
      </c>
      <c r="B75" s="9" t="s">
        <v>1899</v>
      </c>
      <c r="C75" s="9" t="s">
        <v>1900</v>
      </c>
      <c r="D75" s="9" t="s">
        <v>1901</v>
      </c>
      <c r="E75" s="9" t="s">
        <v>55</v>
      </c>
      <c r="F75" s="9" t="s">
        <v>59</v>
      </c>
      <c r="G75" s="9" t="s">
        <v>1849</v>
      </c>
      <c r="H75" s="9" t="s">
        <v>79</v>
      </c>
      <c r="I75" s="9" t="s">
        <v>80</v>
      </c>
      <c r="J75" s="9" t="s">
        <v>1904</v>
      </c>
      <c r="K75" s="9" t="s">
        <v>1903</v>
      </c>
      <c r="L75" s="9" t="s">
        <v>699</v>
      </c>
      <c r="M75" s="9" t="s">
        <v>1854</v>
      </c>
      <c r="N75" s="9" t="s">
        <v>1853</v>
      </c>
      <c r="O75" s="9"/>
      <c r="P75" s="9"/>
      <c r="Q75" s="10"/>
      <c r="R75" s="10"/>
      <c r="S75" s="10"/>
      <c r="T75" s="10"/>
      <c r="U75" s="10"/>
      <c r="V75" s="10"/>
      <c r="W75" s="10"/>
      <c r="X75" s="10"/>
      <c r="Y75" s="10"/>
      <c r="Z75" s="10"/>
    </row>
    <row r="76" spans="1:26" ht="13.5" customHeight="1">
      <c r="A76" s="9" t="s">
        <v>1898</v>
      </c>
      <c r="B76" s="9" t="s">
        <v>1899</v>
      </c>
      <c r="C76" s="9" t="s">
        <v>1900</v>
      </c>
      <c r="D76" s="9" t="s">
        <v>1901</v>
      </c>
      <c r="E76" s="9" t="s">
        <v>55</v>
      </c>
      <c r="F76" s="9" t="s">
        <v>111</v>
      </c>
      <c r="G76" s="9" t="s">
        <v>1849</v>
      </c>
      <c r="H76" s="9" t="s">
        <v>126</v>
      </c>
      <c r="I76" s="9" t="s">
        <v>80</v>
      </c>
      <c r="J76" s="9" t="s">
        <v>1904</v>
      </c>
      <c r="K76" s="9" t="s">
        <v>1903</v>
      </c>
      <c r="L76" s="9" t="s">
        <v>699</v>
      </c>
      <c r="M76" s="9" t="s">
        <v>1854</v>
      </c>
      <c r="N76" s="9" t="s">
        <v>1853</v>
      </c>
      <c r="O76" s="9"/>
      <c r="P76" s="9"/>
      <c r="Q76" s="10"/>
      <c r="R76" s="10"/>
      <c r="S76" s="10"/>
      <c r="T76" s="10"/>
      <c r="U76" s="10"/>
      <c r="V76" s="10"/>
      <c r="W76" s="10"/>
      <c r="X76" s="10"/>
      <c r="Y76" s="10"/>
      <c r="Z76" s="10"/>
    </row>
    <row r="77" spans="1:26" ht="13.5" customHeight="1">
      <c r="A77" s="9" t="s">
        <v>1898</v>
      </c>
      <c r="B77" s="9" t="s">
        <v>1899</v>
      </c>
      <c r="C77" s="9" t="s">
        <v>1900</v>
      </c>
      <c r="D77" s="9" t="s">
        <v>1901</v>
      </c>
      <c r="E77" s="9" t="s">
        <v>55</v>
      </c>
      <c r="F77" s="9" t="s">
        <v>161</v>
      </c>
      <c r="G77" s="9" t="s">
        <v>1849</v>
      </c>
      <c r="H77" s="9" t="s">
        <v>176</v>
      </c>
      <c r="I77" s="9" t="s">
        <v>177</v>
      </c>
      <c r="J77" s="9" t="s">
        <v>1904</v>
      </c>
      <c r="K77" s="9" t="s">
        <v>1903</v>
      </c>
      <c r="L77" s="9" t="s">
        <v>358</v>
      </c>
      <c r="M77" s="9" t="s">
        <v>1857</v>
      </c>
      <c r="N77" s="9" t="s">
        <v>1853</v>
      </c>
      <c r="O77" s="9"/>
      <c r="P77" s="9"/>
      <c r="Q77" s="10"/>
      <c r="R77" s="10"/>
      <c r="S77" s="10"/>
      <c r="T77" s="10"/>
      <c r="U77" s="10"/>
      <c r="V77" s="10"/>
      <c r="W77" s="10"/>
      <c r="X77" s="10"/>
      <c r="Y77" s="10"/>
      <c r="Z77" s="10"/>
    </row>
    <row r="78" spans="1:26" ht="13.5" customHeight="1">
      <c r="A78" s="9" t="s">
        <v>1898</v>
      </c>
      <c r="B78" s="9" t="s">
        <v>1899</v>
      </c>
      <c r="C78" s="9" t="s">
        <v>1900</v>
      </c>
      <c r="D78" s="9" t="s">
        <v>1901</v>
      </c>
      <c r="E78" s="9" t="s">
        <v>182</v>
      </c>
      <c r="F78" s="9" t="s">
        <v>1809</v>
      </c>
      <c r="G78" s="9" t="s">
        <v>1849</v>
      </c>
      <c r="H78" s="9" t="s">
        <v>200</v>
      </c>
      <c r="I78" s="9" t="s">
        <v>80</v>
      </c>
      <c r="J78" s="9" t="s">
        <v>1905</v>
      </c>
      <c r="K78" s="9" t="s">
        <v>1903</v>
      </c>
      <c r="L78" s="9" t="s">
        <v>699</v>
      </c>
      <c r="M78" s="9" t="s">
        <v>1859</v>
      </c>
      <c r="N78" s="9" t="s">
        <v>1853</v>
      </c>
      <c r="O78" s="9"/>
      <c r="P78" s="9"/>
      <c r="Q78" s="10"/>
      <c r="R78" s="10"/>
      <c r="S78" s="10"/>
      <c r="T78" s="10"/>
      <c r="U78" s="10"/>
      <c r="V78" s="10"/>
      <c r="W78" s="10"/>
      <c r="X78" s="10"/>
      <c r="Y78" s="10"/>
      <c r="Z78" s="10"/>
    </row>
    <row r="79" spans="1:26" ht="13.5" customHeight="1">
      <c r="A79" s="9" t="s">
        <v>1898</v>
      </c>
      <c r="B79" s="9" t="s">
        <v>1899</v>
      </c>
      <c r="C79" s="9" t="s">
        <v>1900</v>
      </c>
      <c r="D79" s="9" t="s">
        <v>1901</v>
      </c>
      <c r="E79" s="9" t="s">
        <v>182</v>
      </c>
      <c r="F79" s="9" t="s">
        <v>1811</v>
      </c>
      <c r="G79" s="9" t="s">
        <v>1849</v>
      </c>
      <c r="H79" s="9" t="s">
        <v>260</v>
      </c>
      <c r="I79" s="9" t="s">
        <v>80</v>
      </c>
      <c r="J79" s="9" t="s">
        <v>1905</v>
      </c>
      <c r="K79" s="9" t="s">
        <v>1903</v>
      </c>
      <c r="L79" s="9" t="s">
        <v>699</v>
      </c>
      <c r="M79" s="9" t="s">
        <v>1859</v>
      </c>
      <c r="N79" s="9" t="s">
        <v>1853</v>
      </c>
      <c r="O79" s="9"/>
      <c r="P79" s="9"/>
      <c r="Q79" s="10"/>
      <c r="R79" s="10"/>
      <c r="S79" s="10"/>
      <c r="T79" s="10"/>
      <c r="U79" s="10"/>
      <c r="V79" s="10"/>
      <c r="W79" s="10"/>
      <c r="X79" s="10"/>
      <c r="Y79" s="10"/>
      <c r="Z79" s="10"/>
    </row>
    <row r="80" spans="1:26" ht="13.5" customHeight="1">
      <c r="A80" s="9" t="s">
        <v>1898</v>
      </c>
      <c r="B80" s="9" t="s">
        <v>1899</v>
      </c>
      <c r="C80" s="9" t="s">
        <v>1900</v>
      </c>
      <c r="D80" s="9" t="s">
        <v>1901</v>
      </c>
      <c r="E80" s="9" t="s">
        <v>182</v>
      </c>
      <c r="F80" s="9" t="s">
        <v>323</v>
      </c>
      <c r="G80" s="9" t="s">
        <v>1849</v>
      </c>
      <c r="H80" s="9" t="s">
        <v>339</v>
      </c>
      <c r="I80" s="9" t="s">
        <v>177</v>
      </c>
      <c r="J80" s="9" t="s">
        <v>1905</v>
      </c>
      <c r="K80" s="9" t="s">
        <v>1903</v>
      </c>
      <c r="L80" s="9" t="s">
        <v>358</v>
      </c>
      <c r="M80" s="9" t="s">
        <v>1854</v>
      </c>
      <c r="N80" s="9" t="s">
        <v>1853</v>
      </c>
      <c r="O80" s="9"/>
      <c r="P80" s="9"/>
      <c r="Q80" s="10"/>
      <c r="R80" s="10"/>
      <c r="S80" s="10"/>
      <c r="T80" s="10"/>
      <c r="U80" s="10"/>
      <c r="V80" s="10"/>
      <c r="W80" s="10"/>
      <c r="X80" s="10"/>
      <c r="Y80" s="10"/>
      <c r="Z80" s="10"/>
    </row>
    <row r="81" spans="1:26" ht="13.5" customHeight="1">
      <c r="A81" s="9" t="s">
        <v>1898</v>
      </c>
      <c r="B81" s="9" t="s">
        <v>1899</v>
      </c>
      <c r="C81" s="9" t="s">
        <v>1900</v>
      </c>
      <c r="D81" s="9" t="s">
        <v>1901</v>
      </c>
      <c r="E81" s="9" t="s">
        <v>543</v>
      </c>
      <c r="F81" s="9" t="s">
        <v>544</v>
      </c>
      <c r="G81" s="9" t="s">
        <v>1849</v>
      </c>
      <c r="H81" s="9" t="s">
        <v>561</v>
      </c>
      <c r="I81" s="9" t="s">
        <v>80</v>
      </c>
      <c r="J81" s="9" t="s">
        <v>1906</v>
      </c>
      <c r="K81" s="9" t="s">
        <v>1903</v>
      </c>
      <c r="L81" s="9" t="s">
        <v>358</v>
      </c>
      <c r="M81" s="9" t="s">
        <v>1861</v>
      </c>
      <c r="N81" s="9" t="s">
        <v>1853</v>
      </c>
      <c r="O81" s="9"/>
      <c r="P81" s="9"/>
      <c r="Q81" s="10"/>
      <c r="R81" s="10"/>
      <c r="S81" s="10"/>
      <c r="T81" s="10"/>
      <c r="U81" s="10"/>
      <c r="V81" s="10"/>
      <c r="W81" s="10"/>
      <c r="X81" s="10"/>
      <c r="Y81" s="10"/>
      <c r="Z81" s="10"/>
    </row>
    <row r="82" spans="1:26" ht="13.5" customHeight="1">
      <c r="A82" s="9" t="s">
        <v>1898</v>
      </c>
      <c r="B82" s="9" t="s">
        <v>1899</v>
      </c>
      <c r="C82" s="9" t="s">
        <v>1900</v>
      </c>
      <c r="D82" s="9" t="s">
        <v>1901</v>
      </c>
      <c r="E82" s="9" t="s">
        <v>543</v>
      </c>
      <c r="F82" s="9" t="s">
        <v>598</v>
      </c>
      <c r="G82" s="9" t="s">
        <v>1849</v>
      </c>
      <c r="H82" s="9" t="s">
        <v>614</v>
      </c>
      <c r="I82" s="9" t="s">
        <v>80</v>
      </c>
      <c r="J82" s="9" t="s">
        <v>1906</v>
      </c>
      <c r="K82" s="9" t="s">
        <v>1903</v>
      </c>
      <c r="L82" s="9" t="s">
        <v>358</v>
      </c>
      <c r="M82" s="9" t="s">
        <v>1854</v>
      </c>
      <c r="N82" s="9" t="s">
        <v>1853</v>
      </c>
      <c r="O82" s="9"/>
      <c r="P82" s="9"/>
      <c r="Q82" s="10"/>
      <c r="R82" s="10"/>
      <c r="S82" s="10"/>
      <c r="T82" s="10"/>
      <c r="U82" s="10"/>
      <c r="V82" s="10"/>
      <c r="W82" s="10"/>
      <c r="X82" s="10"/>
      <c r="Y82" s="10"/>
      <c r="Z82" s="10"/>
    </row>
    <row r="83" spans="1:26" ht="13.5" customHeight="1">
      <c r="A83" s="9" t="s">
        <v>1898</v>
      </c>
      <c r="B83" s="9" t="s">
        <v>1899</v>
      </c>
      <c r="C83" s="9" t="s">
        <v>1900</v>
      </c>
      <c r="D83" s="9" t="s">
        <v>1901</v>
      </c>
      <c r="E83" s="9" t="s">
        <v>543</v>
      </c>
      <c r="F83" s="9" t="s">
        <v>1816</v>
      </c>
      <c r="G83" s="9" t="s">
        <v>1849</v>
      </c>
      <c r="H83" s="9" t="s">
        <v>639</v>
      </c>
      <c r="I83" s="9" t="s">
        <v>80</v>
      </c>
      <c r="J83" s="9" t="s">
        <v>1906</v>
      </c>
      <c r="K83" s="9" t="s">
        <v>1903</v>
      </c>
      <c r="L83" s="9" t="s">
        <v>699</v>
      </c>
      <c r="M83" s="9" t="s">
        <v>1852</v>
      </c>
      <c r="N83" s="9" t="s">
        <v>1853</v>
      </c>
      <c r="O83" s="9"/>
      <c r="P83" s="9"/>
      <c r="Q83" s="10"/>
      <c r="R83" s="10"/>
      <c r="S83" s="10"/>
      <c r="T83" s="10"/>
      <c r="U83" s="10"/>
      <c r="V83" s="10"/>
      <c r="W83" s="10"/>
      <c r="X83" s="10"/>
      <c r="Y83" s="10"/>
      <c r="Z83" s="10"/>
    </row>
    <row r="84" spans="1:26" ht="13.5" customHeight="1">
      <c r="A84" s="9" t="s">
        <v>1898</v>
      </c>
      <c r="B84" s="9" t="s">
        <v>1899</v>
      </c>
      <c r="C84" s="9" t="s">
        <v>1900</v>
      </c>
      <c r="D84" s="9" t="s">
        <v>1901</v>
      </c>
      <c r="E84" s="9" t="s">
        <v>543</v>
      </c>
      <c r="F84" s="9" t="s">
        <v>669</v>
      </c>
      <c r="G84" s="9" t="s">
        <v>1849</v>
      </c>
      <c r="H84" s="9" t="s">
        <v>684</v>
      </c>
      <c r="I84" s="9" t="s">
        <v>80</v>
      </c>
      <c r="J84" s="9" t="s">
        <v>1906</v>
      </c>
      <c r="K84" s="9" t="s">
        <v>1903</v>
      </c>
      <c r="L84" s="9" t="s">
        <v>358</v>
      </c>
      <c r="M84" s="9" t="s">
        <v>1854</v>
      </c>
      <c r="N84" s="9" t="s">
        <v>1853</v>
      </c>
      <c r="O84" s="9"/>
      <c r="P84" s="9"/>
      <c r="Q84" s="10"/>
      <c r="R84" s="10"/>
      <c r="S84" s="10"/>
      <c r="T84" s="10"/>
      <c r="U84" s="10"/>
      <c r="V84" s="10"/>
      <c r="W84" s="10"/>
      <c r="X84" s="10"/>
      <c r="Y84" s="10"/>
      <c r="Z84" s="10"/>
    </row>
    <row r="85" spans="1:26" ht="13.5" customHeight="1">
      <c r="A85" s="9" t="s">
        <v>1898</v>
      </c>
      <c r="B85" s="9" t="s">
        <v>1899</v>
      </c>
      <c r="C85" s="9" t="s">
        <v>1900</v>
      </c>
      <c r="D85" s="9" t="s">
        <v>1901</v>
      </c>
      <c r="E85" s="9" t="s">
        <v>697</v>
      </c>
      <c r="F85" s="9" t="s">
        <v>742</v>
      </c>
      <c r="G85" s="9" t="s">
        <v>1849</v>
      </c>
      <c r="H85" s="9" t="s">
        <v>758</v>
      </c>
      <c r="I85" s="9" t="s">
        <v>80</v>
      </c>
      <c r="J85" s="9" t="s">
        <v>1907</v>
      </c>
      <c r="K85" s="9" t="s">
        <v>1903</v>
      </c>
      <c r="L85" s="9" t="s">
        <v>699</v>
      </c>
      <c r="M85" s="9" t="s">
        <v>1863</v>
      </c>
      <c r="N85" s="9" t="s">
        <v>1853</v>
      </c>
      <c r="O85" s="9"/>
      <c r="P85" s="9"/>
      <c r="Q85" s="10"/>
      <c r="R85" s="10"/>
      <c r="S85" s="10"/>
      <c r="T85" s="10"/>
      <c r="U85" s="10"/>
      <c r="V85" s="10"/>
      <c r="W85" s="10"/>
      <c r="X85" s="10"/>
      <c r="Y85" s="10"/>
      <c r="Z85" s="10"/>
    </row>
    <row r="86" spans="1:26" ht="13.5" customHeight="1">
      <c r="A86" s="9" t="s">
        <v>1898</v>
      </c>
      <c r="B86" s="9" t="s">
        <v>1899</v>
      </c>
      <c r="C86" s="9" t="s">
        <v>1900</v>
      </c>
      <c r="D86" s="9" t="s">
        <v>1901</v>
      </c>
      <c r="E86" s="9" t="s">
        <v>859</v>
      </c>
      <c r="F86" s="9" t="s">
        <v>935</v>
      </c>
      <c r="G86" s="9" t="s">
        <v>1849</v>
      </c>
      <c r="H86" s="9" t="s">
        <v>952</v>
      </c>
      <c r="I86" s="9" t="s">
        <v>80</v>
      </c>
      <c r="J86" s="9" t="s">
        <v>1908</v>
      </c>
      <c r="K86" s="9" t="s">
        <v>1903</v>
      </c>
      <c r="L86" s="9" t="s">
        <v>699</v>
      </c>
      <c r="M86" s="9" t="s">
        <v>1865</v>
      </c>
      <c r="N86" s="9" t="s">
        <v>1853</v>
      </c>
      <c r="O86" s="9"/>
      <c r="P86" s="9"/>
      <c r="Q86" s="10"/>
      <c r="R86" s="10"/>
      <c r="S86" s="10"/>
      <c r="T86" s="10"/>
      <c r="U86" s="10"/>
      <c r="V86" s="10"/>
      <c r="W86" s="10"/>
      <c r="X86" s="10"/>
      <c r="Y86" s="10"/>
      <c r="Z86" s="10"/>
    </row>
    <row r="87" spans="1:26" ht="13.5" customHeight="1">
      <c r="A87" s="9" t="s">
        <v>1909</v>
      </c>
      <c r="B87" s="9" t="s">
        <v>1910</v>
      </c>
      <c r="C87" s="9" t="s">
        <v>1911</v>
      </c>
      <c r="D87" s="9" t="s">
        <v>1912</v>
      </c>
      <c r="E87" s="9" t="s">
        <v>1061</v>
      </c>
      <c r="F87" s="9" t="s">
        <v>1795</v>
      </c>
      <c r="G87" s="9" t="s">
        <v>1849</v>
      </c>
      <c r="H87" s="9" t="s">
        <v>1080</v>
      </c>
      <c r="I87" s="9" t="s">
        <v>83</v>
      </c>
      <c r="J87" s="9" t="s">
        <v>1913</v>
      </c>
      <c r="K87" s="9" t="s">
        <v>1914</v>
      </c>
      <c r="L87" s="9" t="s">
        <v>57</v>
      </c>
      <c r="M87" s="9" t="s">
        <v>1852</v>
      </c>
      <c r="N87" s="9" t="s">
        <v>1853</v>
      </c>
      <c r="O87" s="9"/>
      <c r="P87" s="9"/>
      <c r="Q87" s="10"/>
      <c r="R87" s="10"/>
      <c r="S87" s="10"/>
      <c r="T87" s="10"/>
      <c r="U87" s="10"/>
      <c r="V87" s="10"/>
      <c r="W87" s="10"/>
      <c r="X87" s="10"/>
      <c r="Y87" s="10"/>
      <c r="Z87" s="10"/>
    </row>
    <row r="88" spans="1:26" ht="13.5" customHeight="1">
      <c r="A88" s="9" t="s">
        <v>1909</v>
      </c>
      <c r="B88" s="9" t="s">
        <v>1910</v>
      </c>
      <c r="C88" s="9" t="s">
        <v>1911</v>
      </c>
      <c r="D88" s="9" t="s">
        <v>1912</v>
      </c>
      <c r="E88" s="9" t="s">
        <v>1061</v>
      </c>
      <c r="F88" s="9" t="s">
        <v>1798</v>
      </c>
      <c r="G88" s="9" t="s">
        <v>1849</v>
      </c>
      <c r="H88" s="9" t="s">
        <v>1121</v>
      </c>
      <c r="I88" s="9" t="s">
        <v>83</v>
      </c>
      <c r="J88" s="9" t="s">
        <v>1913</v>
      </c>
      <c r="K88" s="9" t="s">
        <v>1914</v>
      </c>
      <c r="L88" s="9" t="s">
        <v>57</v>
      </c>
      <c r="M88" s="9" t="s">
        <v>1852</v>
      </c>
      <c r="N88" s="9" t="s">
        <v>1853</v>
      </c>
      <c r="O88" s="9"/>
      <c r="P88" s="9"/>
      <c r="Q88" s="10"/>
      <c r="R88" s="10"/>
      <c r="S88" s="10"/>
      <c r="T88" s="10"/>
      <c r="U88" s="10"/>
      <c r="V88" s="10"/>
      <c r="W88" s="10"/>
      <c r="X88" s="10"/>
      <c r="Y88" s="10"/>
      <c r="Z88" s="10"/>
    </row>
    <row r="89" spans="1:26" ht="13.5" customHeight="1">
      <c r="A89" s="9" t="s">
        <v>1909</v>
      </c>
      <c r="B89" s="9" t="s">
        <v>1910</v>
      </c>
      <c r="C89" s="9" t="s">
        <v>1911</v>
      </c>
      <c r="D89" s="9" t="s">
        <v>1912</v>
      </c>
      <c r="E89" s="9" t="s">
        <v>1061</v>
      </c>
      <c r="F89" s="9" t="s">
        <v>1800</v>
      </c>
      <c r="G89" s="9" t="s">
        <v>1849</v>
      </c>
      <c r="H89" s="9" t="s">
        <v>1156</v>
      </c>
      <c r="I89" s="9" t="s">
        <v>83</v>
      </c>
      <c r="J89" s="9" t="s">
        <v>1913</v>
      </c>
      <c r="K89" s="9" t="s">
        <v>1914</v>
      </c>
      <c r="L89" s="9" t="s">
        <v>57</v>
      </c>
      <c r="M89" s="9" t="s">
        <v>1852</v>
      </c>
      <c r="N89" s="9" t="s">
        <v>1853</v>
      </c>
      <c r="O89" s="9"/>
      <c r="P89" s="9"/>
      <c r="Q89" s="10"/>
      <c r="R89" s="10"/>
      <c r="S89" s="10"/>
      <c r="T89" s="10"/>
      <c r="U89" s="10"/>
      <c r="V89" s="10"/>
      <c r="W89" s="10"/>
      <c r="X89" s="10"/>
      <c r="Y89" s="10"/>
      <c r="Z89" s="10"/>
    </row>
    <row r="90" spans="1:26" ht="13.5" customHeight="1">
      <c r="A90" s="9" t="s">
        <v>1909</v>
      </c>
      <c r="B90" s="9" t="s">
        <v>1910</v>
      </c>
      <c r="C90" s="9" t="s">
        <v>1911</v>
      </c>
      <c r="D90" s="9" t="s">
        <v>1912</v>
      </c>
      <c r="E90" s="9" t="s">
        <v>1061</v>
      </c>
      <c r="F90" s="9" t="s">
        <v>1802</v>
      </c>
      <c r="G90" s="9" t="s">
        <v>1849</v>
      </c>
      <c r="H90" s="9" t="s">
        <v>1178</v>
      </c>
      <c r="I90" s="9" t="s">
        <v>83</v>
      </c>
      <c r="J90" s="9" t="s">
        <v>1913</v>
      </c>
      <c r="K90" s="9" t="s">
        <v>1914</v>
      </c>
      <c r="L90" s="9" t="s">
        <v>57</v>
      </c>
      <c r="M90" s="9" t="s">
        <v>1854</v>
      </c>
      <c r="N90" s="9" t="s">
        <v>1853</v>
      </c>
      <c r="O90" s="9"/>
      <c r="P90" s="9"/>
      <c r="Q90" s="10"/>
      <c r="R90" s="10"/>
      <c r="S90" s="10"/>
      <c r="T90" s="10"/>
      <c r="U90" s="10"/>
      <c r="V90" s="10"/>
      <c r="W90" s="10"/>
      <c r="X90" s="10"/>
      <c r="Y90" s="10"/>
      <c r="Z90" s="10"/>
    </row>
    <row r="91" spans="1:26" ht="13.5" customHeight="1">
      <c r="A91" s="9" t="s">
        <v>1909</v>
      </c>
      <c r="B91" s="9" t="s">
        <v>1910</v>
      </c>
      <c r="C91" s="9" t="s">
        <v>1911</v>
      </c>
      <c r="D91" s="9" t="s">
        <v>1912</v>
      </c>
      <c r="E91" s="9" t="s">
        <v>1061</v>
      </c>
      <c r="F91" s="9" t="s">
        <v>1804</v>
      </c>
      <c r="G91" s="9" t="s">
        <v>1849</v>
      </c>
      <c r="H91" s="9" t="s">
        <v>1193</v>
      </c>
      <c r="I91" s="9" t="s">
        <v>83</v>
      </c>
      <c r="J91" s="9" t="s">
        <v>1913</v>
      </c>
      <c r="K91" s="9" t="s">
        <v>1914</v>
      </c>
      <c r="L91" s="9" t="s">
        <v>57</v>
      </c>
      <c r="M91" s="9" t="s">
        <v>1855</v>
      </c>
      <c r="N91" s="9" t="s">
        <v>1853</v>
      </c>
      <c r="O91" s="9"/>
      <c r="P91" s="9"/>
      <c r="Q91" s="10"/>
      <c r="R91" s="10"/>
      <c r="S91" s="10"/>
      <c r="T91" s="10"/>
      <c r="U91" s="10"/>
      <c r="V91" s="10"/>
      <c r="W91" s="10"/>
      <c r="X91" s="10"/>
      <c r="Y91" s="10"/>
      <c r="Z91" s="10"/>
    </row>
    <row r="92" spans="1:26" ht="13.5" customHeight="1">
      <c r="A92" s="9" t="s">
        <v>1909</v>
      </c>
      <c r="B92" s="9" t="s">
        <v>1910</v>
      </c>
      <c r="C92" s="9" t="s">
        <v>1911</v>
      </c>
      <c r="D92" s="9" t="s">
        <v>1912</v>
      </c>
      <c r="E92" s="9" t="s">
        <v>55</v>
      </c>
      <c r="F92" s="9" t="s">
        <v>59</v>
      </c>
      <c r="G92" s="9" t="s">
        <v>1849</v>
      </c>
      <c r="H92" s="9" t="s">
        <v>82</v>
      </c>
      <c r="I92" s="9" t="s">
        <v>83</v>
      </c>
      <c r="J92" s="9" t="s">
        <v>1915</v>
      </c>
      <c r="K92" s="9" t="s">
        <v>1914</v>
      </c>
      <c r="L92" s="9" t="s">
        <v>699</v>
      </c>
      <c r="M92" s="9" t="s">
        <v>1854</v>
      </c>
      <c r="N92" s="9" t="s">
        <v>1853</v>
      </c>
      <c r="O92" s="9"/>
      <c r="P92" s="9"/>
      <c r="Q92" s="10"/>
      <c r="R92" s="10"/>
      <c r="S92" s="10"/>
      <c r="T92" s="10"/>
      <c r="U92" s="10"/>
      <c r="V92" s="10"/>
      <c r="W92" s="10"/>
      <c r="X92" s="10"/>
      <c r="Y92" s="10"/>
      <c r="Z92" s="10"/>
    </row>
    <row r="93" spans="1:26" ht="13.5" customHeight="1">
      <c r="A93" s="9" t="s">
        <v>1909</v>
      </c>
      <c r="B93" s="9" t="s">
        <v>1910</v>
      </c>
      <c r="C93" s="9" t="s">
        <v>1911</v>
      </c>
      <c r="D93" s="9" t="s">
        <v>1912</v>
      </c>
      <c r="E93" s="9" t="s">
        <v>55</v>
      </c>
      <c r="F93" s="9" t="s">
        <v>111</v>
      </c>
      <c r="G93" s="9" t="s">
        <v>1849</v>
      </c>
      <c r="H93" s="9" t="s">
        <v>128</v>
      </c>
      <c r="I93" s="9" t="s">
        <v>83</v>
      </c>
      <c r="J93" s="9" t="s">
        <v>1915</v>
      </c>
      <c r="K93" s="9" t="s">
        <v>1914</v>
      </c>
      <c r="L93" s="9" t="s">
        <v>699</v>
      </c>
      <c r="M93" s="9" t="s">
        <v>1854</v>
      </c>
      <c r="N93" s="9" t="s">
        <v>1853</v>
      </c>
      <c r="O93" s="9"/>
      <c r="P93" s="9"/>
      <c r="Q93" s="10"/>
      <c r="R93" s="10"/>
      <c r="S93" s="10"/>
      <c r="T93" s="10"/>
      <c r="U93" s="10"/>
      <c r="V93" s="10"/>
      <c r="W93" s="10"/>
      <c r="X93" s="10"/>
      <c r="Y93" s="10"/>
      <c r="Z93" s="10"/>
    </row>
    <row r="94" spans="1:26" ht="13.5" customHeight="1">
      <c r="A94" s="9" t="s">
        <v>1909</v>
      </c>
      <c r="B94" s="9" t="s">
        <v>1910</v>
      </c>
      <c r="C94" s="9" t="s">
        <v>1911</v>
      </c>
      <c r="D94" s="9" t="s">
        <v>1912</v>
      </c>
      <c r="E94" s="9" t="s">
        <v>55</v>
      </c>
      <c r="F94" s="9" t="s">
        <v>161</v>
      </c>
      <c r="G94" s="9" t="s">
        <v>1849</v>
      </c>
      <c r="H94" s="9" t="s">
        <v>179</v>
      </c>
      <c r="I94" s="9" t="s">
        <v>83</v>
      </c>
      <c r="J94" s="9" t="s">
        <v>1915</v>
      </c>
      <c r="K94" s="9" t="s">
        <v>1914</v>
      </c>
      <c r="L94" s="9" t="s">
        <v>358</v>
      </c>
      <c r="M94" s="9" t="s">
        <v>1857</v>
      </c>
      <c r="N94" s="9" t="s">
        <v>1853</v>
      </c>
      <c r="O94" s="9"/>
      <c r="P94" s="9"/>
      <c r="Q94" s="10"/>
      <c r="R94" s="10"/>
      <c r="S94" s="10"/>
      <c r="T94" s="10"/>
      <c r="U94" s="10"/>
      <c r="V94" s="10"/>
      <c r="W94" s="10"/>
      <c r="X94" s="10"/>
      <c r="Y94" s="10"/>
      <c r="Z94" s="10"/>
    </row>
    <row r="95" spans="1:26" ht="13.5" customHeight="1">
      <c r="A95" s="9" t="s">
        <v>1909</v>
      </c>
      <c r="B95" s="9" t="s">
        <v>1910</v>
      </c>
      <c r="C95" s="9" t="s">
        <v>1911</v>
      </c>
      <c r="D95" s="9" t="s">
        <v>1912</v>
      </c>
      <c r="E95" s="9" t="s">
        <v>182</v>
      </c>
      <c r="F95" s="9" t="s">
        <v>1809</v>
      </c>
      <c r="G95" s="9" t="s">
        <v>1849</v>
      </c>
      <c r="H95" s="9" t="s">
        <v>202</v>
      </c>
      <c r="I95" s="9" t="s">
        <v>83</v>
      </c>
      <c r="J95" s="9" t="s">
        <v>1916</v>
      </c>
      <c r="K95" s="9" t="s">
        <v>1914</v>
      </c>
      <c r="L95" s="9" t="s">
        <v>699</v>
      </c>
      <c r="M95" s="9" t="s">
        <v>1859</v>
      </c>
      <c r="N95" s="9" t="s">
        <v>1853</v>
      </c>
      <c r="O95" s="9"/>
      <c r="P95" s="9"/>
      <c r="Q95" s="10"/>
      <c r="R95" s="10"/>
      <c r="S95" s="10"/>
      <c r="T95" s="10"/>
      <c r="U95" s="10"/>
      <c r="V95" s="10"/>
      <c r="W95" s="10"/>
      <c r="X95" s="10"/>
      <c r="Y95" s="10"/>
      <c r="Z95" s="10"/>
    </row>
    <row r="96" spans="1:26" ht="13.5" customHeight="1">
      <c r="A96" s="9" t="s">
        <v>1909</v>
      </c>
      <c r="B96" s="9" t="s">
        <v>1910</v>
      </c>
      <c r="C96" s="9" t="s">
        <v>1911</v>
      </c>
      <c r="D96" s="9" t="s">
        <v>1912</v>
      </c>
      <c r="E96" s="9" t="s">
        <v>182</v>
      </c>
      <c r="F96" s="9" t="s">
        <v>1811</v>
      </c>
      <c r="G96" s="9" t="s">
        <v>1849</v>
      </c>
      <c r="H96" s="9" t="s">
        <v>262</v>
      </c>
      <c r="I96" s="9" t="s">
        <v>83</v>
      </c>
      <c r="J96" s="9" t="s">
        <v>1916</v>
      </c>
      <c r="K96" s="9" t="s">
        <v>1914</v>
      </c>
      <c r="L96" s="9" t="s">
        <v>699</v>
      </c>
      <c r="M96" s="9" t="s">
        <v>1859</v>
      </c>
      <c r="N96" s="9" t="s">
        <v>1853</v>
      </c>
      <c r="O96" s="9"/>
      <c r="P96" s="9"/>
      <c r="Q96" s="10"/>
      <c r="R96" s="10"/>
      <c r="S96" s="10"/>
      <c r="T96" s="10"/>
      <c r="U96" s="10"/>
      <c r="V96" s="10"/>
      <c r="W96" s="10"/>
      <c r="X96" s="10"/>
      <c r="Y96" s="10"/>
      <c r="Z96" s="10"/>
    </row>
    <row r="97" spans="1:26" ht="13.5" customHeight="1">
      <c r="A97" s="9" t="s">
        <v>1909</v>
      </c>
      <c r="B97" s="9" t="s">
        <v>1910</v>
      </c>
      <c r="C97" s="9" t="s">
        <v>1911</v>
      </c>
      <c r="D97" s="9" t="s">
        <v>1912</v>
      </c>
      <c r="E97" s="9" t="s">
        <v>182</v>
      </c>
      <c r="F97" s="9" t="s">
        <v>323</v>
      </c>
      <c r="G97" s="9" t="s">
        <v>1849</v>
      </c>
      <c r="H97" s="9" t="s">
        <v>341</v>
      </c>
      <c r="I97" s="9" t="s">
        <v>83</v>
      </c>
      <c r="J97" s="9" t="s">
        <v>1916</v>
      </c>
      <c r="K97" s="9" t="s">
        <v>1914</v>
      </c>
      <c r="L97" s="9" t="s">
        <v>358</v>
      </c>
      <c r="M97" s="9" t="s">
        <v>1854</v>
      </c>
      <c r="N97" s="9" t="s">
        <v>1853</v>
      </c>
      <c r="O97" s="9"/>
      <c r="P97" s="9"/>
      <c r="Q97" s="10"/>
      <c r="R97" s="10"/>
      <c r="S97" s="10"/>
      <c r="T97" s="10"/>
      <c r="U97" s="10"/>
      <c r="V97" s="10"/>
      <c r="W97" s="10"/>
      <c r="X97" s="10"/>
      <c r="Y97" s="10"/>
      <c r="Z97" s="10"/>
    </row>
    <row r="98" spans="1:26" ht="13.5" customHeight="1">
      <c r="A98" s="9" t="s">
        <v>1909</v>
      </c>
      <c r="B98" s="9" t="s">
        <v>1910</v>
      </c>
      <c r="C98" s="9" t="s">
        <v>1911</v>
      </c>
      <c r="D98" s="9" t="s">
        <v>1912</v>
      </c>
      <c r="E98" s="9" t="s">
        <v>543</v>
      </c>
      <c r="F98" s="9" t="s">
        <v>544</v>
      </c>
      <c r="G98" s="9" t="s">
        <v>1849</v>
      </c>
      <c r="H98" s="9" t="s">
        <v>563</v>
      </c>
      <c r="I98" s="9" t="s">
        <v>83</v>
      </c>
      <c r="J98" s="9" t="s">
        <v>1917</v>
      </c>
      <c r="K98" s="9" t="s">
        <v>1914</v>
      </c>
      <c r="L98" s="9" t="s">
        <v>358</v>
      </c>
      <c r="M98" s="9" t="s">
        <v>1861</v>
      </c>
      <c r="N98" s="9" t="s">
        <v>1853</v>
      </c>
      <c r="O98" s="9"/>
      <c r="P98" s="9"/>
      <c r="Q98" s="10"/>
      <c r="R98" s="10"/>
      <c r="S98" s="10"/>
      <c r="T98" s="10"/>
      <c r="U98" s="10"/>
      <c r="V98" s="10"/>
      <c r="W98" s="10"/>
      <c r="X98" s="10"/>
      <c r="Y98" s="10"/>
      <c r="Z98" s="10"/>
    </row>
    <row r="99" spans="1:26" ht="13.5" customHeight="1">
      <c r="A99" s="9" t="s">
        <v>1909</v>
      </c>
      <c r="B99" s="9" t="s">
        <v>1910</v>
      </c>
      <c r="C99" s="9" t="s">
        <v>1911</v>
      </c>
      <c r="D99" s="9" t="s">
        <v>1912</v>
      </c>
      <c r="E99" s="9" t="s">
        <v>543</v>
      </c>
      <c r="F99" s="9" t="s">
        <v>598</v>
      </c>
      <c r="G99" s="9" t="s">
        <v>1849</v>
      </c>
      <c r="H99" s="9" t="s">
        <v>616</v>
      </c>
      <c r="I99" s="9" t="s">
        <v>83</v>
      </c>
      <c r="J99" s="9" t="s">
        <v>1917</v>
      </c>
      <c r="K99" s="9" t="s">
        <v>1914</v>
      </c>
      <c r="L99" s="9" t="s">
        <v>358</v>
      </c>
      <c r="M99" s="9" t="s">
        <v>1854</v>
      </c>
      <c r="N99" s="9" t="s">
        <v>1853</v>
      </c>
      <c r="O99" s="9"/>
      <c r="P99" s="9"/>
      <c r="Q99" s="10"/>
      <c r="R99" s="10"/>
      <c r="S99" s="10"/>
      <c r="T99" s="10"/>
      <c r="U99" s="10"/>
      <c r="V99" s="10"/>
      <c r="W99" s="10"/>
      <c r="X99" s="10"/>
      <c r="Y99" s="10"/>
      <c r="Z99" s="10"/>
    </row>
    <row r="100" spans="1:26" ht="13.5" customHeight="1">
      <c r="A100" s="9" t="s">
        <v>1909</v>
      </c>
      <c r="B100" s="9" t="s">
        <v>1910</v>
      </c>
      <c r="C100" s="9" t="s">
        <v>1911</v>
      </c>
      <c r="D100" s="9" t="s">
        <v>1912</v>
      </c>
      <c r="E100" s="9" t="s">
        <v>543</v>
      </c>
      <c r="F100" s="9" t="s">
        <v>1816</v>
      </c>
      <c r="G100" s="9" t="s">
        <v>1849</v>
      </c>
      <c r="H100" s="9" t="s">
        <v>641</v>
      </c>
      <c r="I100" s="9" t="s">
        <v>83</v>
      </c>
      <c r="J100" s="9" t="s">
        <v>1917</v>
      </c>
      <c r="K100" s="9" t="s">
        <v>1914</v>
      </c>
      <c r="L100" s="9" t="s">
        <v>699</v>
      </c>
      <c r="M100" s="9" t="s">
        <v>1852</v>
      </c>
      <c r="N100" s="9" t="s">
        <v>1853</v>
      </c>
      <c r="O100" s="9"/>
      <c r="P100" s="9"/>
      <c r="Q100" s="10"/>
      <c r="R100" s="10"/>
      <c r="S100" s="10"/>
      <c r="T100" s="10"/>
      <c r="U100" s="10"/>
      <c r="V100" s="10"/>
      <c r="W100" s="10"/>
      <c r="X100" s="10"/>
      <c r="Y100" s="10"/>
      <c r="Z100" s="10"/>
    </row>
    <row r="101" spans="1:26" ht="13.5" customHeight="1">
      <c r="A101" s="9" t="s">
        <v>1909</v>
      </c>
      <c r="B101" s="9" t="s">
        <v>1910</v>
      </c>
      <c r="C101" s="9" t="s">
        <v>1911</v>
      </c>
      <c r="D101" s="9" t="s">
        <v>1912</v>
      </c>
      <c r="E101" s="9" t="s">
        <v>543</v>
      </c>
      <c r="F101" s="9" t="s">
        <v>669</v>
      </c>
      <c r="G101" s="9" t="s">
        <v>1849</v>
      </c>
      <c r="H101" s="9" t="s">
        <v>686</v>
      </c>
      <c r="I101" s="9" t="s">
        <v>83</v>
      </c>
      <c r="J101" s="9" t="s">
        <v>1917</v>
      </c>
      <c r="K101" s="9" t="s">
        <v>1914</v>
      </c>
      <c r="L101" s="9" t="s">
        <v>358</v>
      </c>
      <c r="M101" s="9" t="s">
        <v>1854</v>
      </c>
      <c r="N101" s="9" t="s">
        <v>1853</v>
      </c>
      <c r="O101" s="9"/>
      <c r="P101" s="9"/>
      <c r="Q101" s="10"/>
      <c r="R101" s="10"/>
      <c r="S101" s="10"/>
      <c r="T101" s="10"/>
      <c r="U101" s="10"/>
      <c r="V101" s="10"/>
      <c r="W101" s="10"/>
      <c r="X101" s="10"/>
      <c r="Y101" s="10"/>
      <c r="Z101" s="10"/>
    </row>
    <row r="102" spans="1:26" ht="13.5" customHeight="1">
      <c r="A102" s="9" t="s">
        <v>1909</v>
      </c>
      <c r="B102" s="9" t="s">
        <v>1910</v>
      </c>
      <c r="C102" s="9" t="s">
        <v>1911</v>
      </c>
      <c r="D102" s="9" t="s">
        <v>1912</v>
      </c>
      <c r="E102" s="9" t="s">
        <v>697</v>
      </c>
      <c r="F102" s="9" t="s">
        <v>742</v>
      </c>
      <c r="G102" s="9" t="s">
        <v>1849</v>
      </c>
      <c r="H102" s="9" t="s">
        <v>760</v>
      </c>
      <c r="I102" s="9" t="s">
        <v>83</v>
      </c>
      <c r="J102" s="9" t="s">
        <v>1918</v>
      </c>
      <c r="K102" s="9" t="s">
        <v>1914</v>
      </c>
      <c r="L102" s="9" t="s">
        <v>699</v>
      </c>
      <c r="M102" s="9" t="s">
        <v>1863</v>
      </c>
      <c r="N102" s="9" t="s">
        <v>1853</v>
      </c>
      <c r="O102" s="9"/>
      <c r="P102" s="9"/>
      <c r="Q102" s="10"/>
      <c r="R102" s="10"/>
      <c r="S102" s="10"/>
      <c r="T102" s="10"/>
      <c r="U102" s="10"/>
      <c r="V102" s="10"/>
      <c r="W102" s="10"/>
      <c r="X102" s="10"/>
      <c r="Y102" s="10"/>
      <c r="Z102" s="10"/>
    </row>
    <row r="103" spans="1:26" ht="13.5" customHeight="1">
      <c r="A103" s="9" t="s">
        <v>1909</v>
      </c>
      <c r="B103" s="9" t="s">
        <v>1910</v>
      </c>
      <c r="C103" s="9" t="s">
        <v>1911</v>
      </c>
      <c r="D103" s="9" t="s">
        <v>1912</v>
      </c>
      <c r="E103" s="9" t="s">
        <v>859</v>
      </c>
      <c r="F103" s="9" t="s">
        <v>935</v>
      </c>
      <c r="G103" s="9" t="s">
        <v>1849</v>
      </c>
      <c r="H103" s="9" t="s">
        <v>954</v>
      </c>
      <c r="I103" s="9" t="s">
        <v>83</v>
      </c>
      <c r="J103" s="9" t="s">
        <v>1919</v>
      </c>
      <c r="K103" s="9" t="s">
        <v>1914</v>
      </c>
      <c r="L103" s="9" t="s">
        <v>699</v>
      </c>
      <c r="M103" s="9" t="s">
        <v>1865</v>
      </c>
      <c r="N103" s="9" t="s">
        <v>1853</v>
      </c>
      <c r="O103" s="9"/>
      <c r="P103" s="9"/>
      <c r="Q103" s="10"/>
      <c r="R103" s="10"/>
      <c r="S103" s="10"/>
      <c r="T103" s="10"/>
      <c r="U103" s="10"/>
      <c r="V103" s="10"/>
      <c r="W103" s="10"/>
      <c r="X103" s="10"/>
      <c r="Y103" s="10"/>
      <c r="Z103" s="10"/>
    </row>
    <row r="104" spans="1:26" ht="13.5" customHeight="1"/>
    <row r="105" spans="1:26" ht="13.5" customHeight="1"/>
    <row r="106" spans="1:26" ht="13.5" customHeight="1"/>
    <row r="107" spans="1:26" ht="13.5" customHeight="1"/>
    <row r="108" spans="1:26" ht="13.5" customHeight="1"/>
    <row r="109" spans="1:26" ht="13.5" customHeight="1"/>
    <row r="110" spans="1:26" ht="13.5" customHeight="1"/>
    <row r="111" spans="1:26" ht="13.5" customHeight="1"/>
    <row r="112" spans="1:26"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L2:L103">
    <cfRule type="expression" dxfId="3" priority="1">
      <formula>$L2="P0"</formula>
    </cfRule>
    <cfRule type="expression" dxfId="2" priority="2">
      <formula>$L2="P1"</formula>
    </cfRule>
  </conditionalFormatting>
  <conditionalFormatting sqref="O2:O103">
    <cfRule type="expression" dxfId="1" priority="3">
      <formula>$O2="FAIL"</formula>
    </cfRule>
    <cfRule type="expression" dxfId="0" priority="4">
      <formula>$O2="PASS"</formula>
    </cfRule>
  </conditionalFormatting>
  <dataValidations count="2">
    <dataValidation type="list" allowBlank="1" sqref="O2:O103" xr:uid="{00000000-0002-0000-0400-000000000000}">
      <formula1>"PASS,FAIL,N/A,Conditional PASS"</formula1>
    </dataValidation>
    <dataValidation type="list" allowBlank="1" sqref="N2:N103" xr:uid="{00000000-0002-0000-0400-000001000000}">
      <formula1>"Open,In Review,Closed,Deferred"</formula1>
    </dataValidation>
  </dataValidations>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00"/>
  <sheetViews>
    <sheetView workbookViewId="0"/>
  </sheetViews>
  <sheetFormatPr defaultColWidth="12.6640625" defaultRowHeight="15" customHeight="1"/>
  <cols>
    <col min="1" max="4" width="18" customWidth="1"/>
    <col min="5" max="5" width="26.4140625" customWidth="1"/>
    <col min="6" max="7" width="18" customWidth="1"/>
    <col min="8" max="26" width="8.6640625" customWidth="1"/>
  </cols>
  <sheetData>
    <row r="1" spans="1:7" ht="21" customHeight="1">
      <c r="A1" s="1" t="s">
        <v>1831</v>
      </c>
      <c r="B1" s="1" t="s">
        <v>1833</v>
      </c>
      <c r="C1" s="1" t="s">
        <v>1920</v>
      </c>
      <c r="D1" s="1" t="s">
        <v>1921</v>
      </c>
      <c r="E1" s="1" t="s">
        <v>1922</v>
      </c>
      <c r="F1" s="1" t="s">
        <v>1923</v>
      </c>
      <c r="G1" s="1" t="s">
        <v>1924</v>
      </c>
    </row>
    <row r="2" spans="1:7" ht="13.5" customHeight="1">
      <c r="A2" s="2" t="s">
        <v>1925</v>
      </c>
      <c r="B2" s="2" t="s">
        <v>1847</v>
      </c>
      <c r="C2" s="2" t="s">
        <v>1926</v>
      </c>
      <c r="D2" s="2" t="s">
        <v>1927</v>
      </c>
      <c r="E2" s="2" t="s">
        <v>1928</v>
      </c>
      <c r="F2" s="2" t="s">
        <v>1929</v>
      </c>
      <c r="G2" s="2" t="s">
        <v>1930</v>
      </c>
    </row>
    <row r="3" spans="1:7" ht="13.5" customHeight="1">
      <c r="A3" s="2" t="s">
        <v>1931</v>
      </c>
      <c r="B3" s="2" t="s">
        <v>1868</v>
      </c>
      <c r="C3" s="2" t="s">
        <v>1932</v>
      </c>
      <c r="D3" s="2" t="s">
        <v>1933</v>
      </c>
      <c r="E3" s="2" t="s">
        <v>1934</v>
      </c>
      <c r="F3" s="2" t="s">
        <v>1935</v>
      </c>
      <c r="G3" s="2" t="s">
        <v>1930</v>
      </c>
    </row>
    <row r="4" spans="1:7" ht="13.5" customHeight="1">
      <c r="A4" s="2" t="s">
        <v>1936</v>
      </c>
      <c r="B4" s="2" t="s">
        <v>1878</v>
      </c>
      <c r="C4" s="2" t="s">
        <v>1937</v>
      </c>
      <c r="D4" s="2" t="s">
        <v>1938</v>
      </c>
      <c r="E4" s="2" t="s">
        <v>1939</v>
      </c>
      <c r="F4" s="2" t="s">
        <v>1940</v>
      </c>
      <c r="G4" s="2" t="s">
        <v>1930</v>
      </c>
    </row>
    <row r="5" spans="1:7" ht="13.5" customHeight="1">
      <c r="A5" s="2" t="s">
        <v>1941</v>
      </c>
      <c r="B5" s="2" t="s">
        <v>1889</v>
      </c>
      <c r="C5" s="2" t="s">
        <v>1942</v>
      </c>
      <c r="D5" s="2" t="s">
        <v>1943</v>
      </c>
      <c r="E5" s="2" t="s">
        <v>1944</v>
      </c>
      <c r="F5" s="2" t="s">
        <v>1945</v>
      </c>
      <c r="G5" s="2" t="s">
        <v>1930</v>
      </c>
    </row>
    <row r="6" spans="1:7" ht="13.5" customHeight="1">
      <c r="A6" s="2" t="s">
        <v>1946</v>
      </c>
      <c r="B6" s="2" t="s">
        <v>1900</v>
      </c>
      <c r="C6" s="2" t="s">
        <v>1947</v>
      </c>
      <c r="D6" s="2" t="s">
        <v>1948</v>
      </c>
      <c r="E6" s="2" t="s">
        <v>1949</v>
      </c>
      <c r="F6" s="2" t="s">
        <v>1950</v>
      </c>
      <c r="G6" s="2" t="s">
        <v>1930</v>
      </c>
    </row>
    <row r="7" spans="1:7" ht="13.5" customHeight="1">
      <c r="A7" s="2" t="s">
        <v>1951</v>
      </c>
      <c r="B7" s="2" t="s">
        <v>1911</v>
      </c>
      <c r="C7" s="2" t="s">
        <v>1952</v>
      </c>
      <c r="D7" s="2" t="s">
        <v>1953</v>
      </c>
      <c r="E7" s="2" t="s">
        <v>1954</v>
      </c>
      <c r="F7" s="2" t="s">
        <v>1955</v>
      </c>
      <c r="G7" s="2" t="s">
        <v>1930</v>
      </c>
    </row>
    <row r="8" spans="1:7" ht="13.5" customHeight="1"/>
    <row r="9" spans="1:7" ht="13.5" customHeight="1"/>
    <row r="10" spans="1:7" ht="13.5" customHeight="1"/>
    <row r="11" spans="1:7" ht="13.5" customHeight="1"/>
    <row r="12" spans="1:7" ht="13.5" customHeight="1"/>
    <row r="13" spans="1:7" ht="13.5" customHeight="1"/>
    <row r="14" spans="1:7" ht="13.5" customHeight="1"/>
    <row r="15" spans="1:7" ht="13.5" customHeight="1"/>
    <row r="16" spans="1:7"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0"/>
  <sheetViews>
    <sheetView workbookViewId="0"/>
  </sheetViews>
  <sheetFormatPr defaultColWidth="12.6640625" defaultRowHeight="15" customHeight="1"/>
  <cols>
    <col min="1" max="2" width="36" customWidth="1"/>
    <col min="3" max="3" width="24.6640625" customWidth="1"/>
    <col min="4" max="4" width="25.75" customWidth="1"/>
    <col min="5" max="5" width="18" customWidth="1"/>
    <col min="6" max="26" width="8.6640625" customWidth="1"/>
  </cols>
  <sheetData>
    <row r="1" spans="1:5" ht="21" customHeight="1">
      <c r="A1" s="1" t="s">
        <v>1956</v>
      </c>
      <c r="B1" s="1" t="s">
        <v>1957</v>
      </c>
      <c r="C1" s="1" t="s">
        <v>1958</v>
      </c>
      <c r="D1" s="1" t="s">
        <v>1959</v>
      </c>
      <c r="E1" s="1" t="s">
        <v>1960</v>
      </c>
    </row>
    <row r="2" spans="1:5" ht="13.5" customHeight="1">
      <c r="A2" s="2" t="s">
        <v>1961</v>
      </c>
      <c r="B2" s="2" t="s">
        <v>1962</v>
      </c>
      <c r="C2" s="2" t="s">
        <v>1845</v>
      </c>
      <c r="D2" s="2" t="s">
        <v>1963</v>
      </c>
      <c r="E2" s="2" t="s">
        <v>1964</v>
      </c>
    </row>
    <row r="3" spans="1:5" ht="13.5" customHeight="1">
      <c r="A3" s="2" t="s">
        <v>1965</v>
      </c>
      <c r="B3" s="2" t="s">
        <v>1966</v>
      </c>
      <c r="C3" s="2" t="s">
        <v>1866</v>
      </c>
      <c r="D3" s="2" t="s">
        <v>1967</v>
      </c>
      <c r="E3" s="2" t="s">
        <v>1968</v>
      </c>
    </row>
    <row r="4" spans="1:5" ht="13.5" customHeight="1">
      <c r="A4" s="2" t="s">
        <v>1969</v>
      </c>
      <c r="B4" s="2" t="s">
        <v>1970</v>
      </c>
      <c r="C4" s="2" t="s">
        <v>1876</v>
      </c>
      <c r="D4" s="2" t="s">
        <v>1971</v>
      </c>
      <c r="E4" s="2" t="s">
        <v>1972</v>
      </c>
    </row>
    <row r="5" spans="1:5" ht="13.5" customHeight="1">
      <c r="A5" s="2" t="s">
        <v>1973</v>
      </c>
      <c r="B5" s="2" t="s">
        <v>1974</v>
      </c>
      <c r="C5" s="2" t="s">
        <v>1887</v>
      </c>
      <c r="D5" s="2" t="s">
        <v>1975</v>
      </c>
      <c r="E5" s="2" t="s">
        <v>1976</v>
      </c>
    </row>
    <row r="6" spans="1:5" ht="13.5" customHeight="1">
      <c r="A6" s="2" t="s">
        <v>1977</v>
      </c>
      <c r="B6" s="2" t="s">
        <v>1978</v>
      </c>
      <c r="C6" s="2" t="s">
        <v>1898</v>
      </c>
      <c r="D6" s="2" t="s">
        <v>1979</v>
      </c>
      <c r="E6" s="2" t="s">
        <v>1980</v>
      </c>
    </row>
    <row r="7" spans="1:5" ht="13.5" customHeight="1">
      <c r="A7" s="2" t="s">
        <v>1981</v>
      </c>
      <c r="B7" s="2" t="s">
        <v>1982</v>
      </c>
      <c r="C7" s="2" t="s">
        <v>1909</v>
      </c>
      <c r="D7" s="2" t="s">
        <v>1983</v>
      </c>
      <c r="E7" s="2" t="s">
        <v>1984</v>
      </c>
    </row>
    <row r="8" spans="1:5" ht="13.5" customHeight="1"/>
    <row r="9" spans="1:5" ht="13.5" customHeight="1"/>
    <row r="10" spans="1:5" ht="13.5" customHeight="1"/>
    <row r="11" spans="1:5" ht="13.5" customHeight="1"/>
    <row r="12" spans="1:5" ht="13.5" customHeight="1"/>
    <row r="13" spans="1:5" ht="13.5" customHeight="1"/>
    <row r="14" spans="1:5" ht="13.5" customHeight="1"/>
    <row r="15" spans="1:5" ht="13.5" customHeight="1"/>
    <row r="16" spans="1:5"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000"/>
  <sheetViews>
    <sheetView workbookViewId="0"/>
  </sheetViews>
  <sheetFormatPr defaultColWidth="12.6640625" defaultRowHeight="15" customHeight="1"/>
  <cols>
    <col min="1" max="26" width="8.6640625" customWidth="1"/>
  </cols>
  <sheetData>
    <row r="1" spans="1:25" ht="13.5" customHeight="1">
      <c r="A1" s="87" t="s">
        <v>1985</v>
      </c>
      <c r="B1" s="87" t="s">
        <v>19</v>
      </c>
      <c r="C1" s="87" t="s">
        <v>20</v>
      </c>
      <c r="D1" s="87" t="s">
        <v>21</v>
      </c>
      <c r="E1" s="87" t="s">
        <v>22</v>
      </c>
      <c r="F1" s="87" t="s">
        <v>1986</v>
      </c>
      <c r="G1" s="87" t="s">
        <v>1987</v>
      </c>
      <c r="H1" s="87" t="s">
        <v>1792</v>
      </c>
      <c r="I1" s="87" t="s">
        <v>1988</v>
      </c>
      <c r="J1" s="87" t="s">
        <v>1989</v>
      </c>
      <c r="K1" s="87" t="s">
        <v>1990</v>
      </c>
      <c r="L1" s="87" t="s">
        <v>1991</v>
      </c>
      <c r="M1" s="87" t="s">
        <v>29</v>
      </c>
      <c r="N1" s="87" t="s">
        <v>1992</v>
      </c>
      <c r="O1" s="87" t="s">
        <v>65</v>
      </c>
      <c r="P1" s="87" t="s">
        <v>1032</v>
      </c>
      <c r="Q1" s="87" t="s">
        <v>1149</v>
      </c>
      <c r="R1" s="87" t="s">
        <v>1993</v>
      </c>
      <c r="S1" s="87" t="s">
        <v>51</v>
      </c>
      <c r="T1" s="87" t="s">
        <v>1994</v>
      </c>
      <c r="U1" s="87" t="s">
        <v>1995</v>
      </c>
      <c r="V1" s="90" t="s">
        <v>1996</v>
      </c>
      <c r="W1" s="91"/>
      <c r="X1" s="91"/>
      <c r="Y1" s="92"/>
    </row>
    <row r="2" spans="1:25" ht="13.5" customHeight="1">
      <c r="A2" s="88"/>
      <c r="B2" s="88"/>
      <c r="C2" s="88"/>
      <c r="D2" s="88"/>
      <c r="E2" s="88"/>
      <c r="F2" s="88"/>
      <c r="G2" s="88"/>
      <c r="H2" s="88"/>
      <c r="I2" s="88"/>
      <c r="J2" s="88"/>
      <c r="K2" s="88"/>
      <c r="L2" s="88"/>
      <c r="M2" s="88"/>
      <c r="N2" s="88"/>
      <c r="O2" s="88"/>
      <c r="P2" s="88"/>
      <c r="Q2" s="88"/>
      <c r="R2" s="88"/>
      <c r="S2" s="88"/>
      <c r="T2" s="88"/>
      <c r="U2" s="89"/>
      <c r="V2" s="11" t="s">
        <v>1997</v>
      </c>
      <c r="W2" s="11" t="s">
        <v>1998</v>
      </c>
      <c r="X2" s="11" t="s">
        <v>1999</v>
      </c>
      <c r="Y2" s="11" t="s">
        <v>2000</v>
      </c>
    </row>
    <row r="3" spans="1:25" ht="13.5" customHeight="1">
      <c r="A3" s="12">
        <v>1</v>
      </c>
      <c r="B3" s="13" t="s">
        <v>53</v>
      </c>
      <c r="C3" s="13" t="s">
        <v>54</v>
      </c>
      <c r="D3" s="13" t="s">
        <v>55</v>
      </c>
      <c r="E3" s="13" t="s">
        <v>56</v>
      </c>
      <c r="F3" s="14" t="s">
        <v>60</v>
      </c>
      <c r="G3" s="14" t="s">
        <v>61</v>
      </c>
      <c r="H3" s="13"/>
      <c r="I3" s="13" t="s">
        <v>2001</v>
      </c>
      <c r="J3" s="13" t="s">
        <v>59</v>
      </c>
      <c r="K3" s="13" t="s">
        <v>62</v>
      </c>
      <c r="L3" s="13" t="s">
        <v>2002</v>
      </c>
      <c r="M3" s="15" t="s">
        <v>2003</v>
      </c>
      <c r="N3" s="16"/>
      <c r="O3" s="16" t="s">
        <v>2004</v>
      </c>
      <c r="P3" s="17"/>
      <c r="Q3" s="17"/>
      <c r="R3" s="14" t="s">
        <v>2005</v>
      </c>
      <c r="S3" s="17"/>
      <c r="T3" s="13"/>
      <c r="U3" s="16" t="s">
        <v>2006</v>
      </c>
      <c r="V3" s="17"/>
      <c r="W3" s="17"/>
      <c r="X3" s="17"/>
      <c r="Y3" s="17"/>
    </row>
    <row r="4" spans="1:25" ht="13.5" customHeight="1">
      <c r="A4" s="12">
        <v>2</v>
      </c>
      <c r="B4" s="13" t="s">
        <v>87</v>
      </c>
      <c r="C4" s="13" t="s">
        <v>54</v>
      </c>
      <c r="D4" s="13" t="s">
        <v>55</v>
      </c>
      <c r="E4" s="13" t="s">
        <v>56</v>
      </c>
      <c r="F4" s="14" t="s">
        <v>90</v>
      </c>
      <c r="G4" s="14" t="s">
        <v>91</v>
      </c>
      <c r="H4" s="13"/>
      <c r="I4" s="13" t="s">
        <v>2001</v>
      </c>
      <c r="J4" s="13" t="s">
        <v>89</v>
      </c>
      <c r="K4" s="13" t="s">
        <v>2007</v>
      </c>
      <c r="L4" s="13"/>
      <c r="M4" s="15"/>
      <c r="N4" s="16"/>
      <c r="O4" s="16"/>
      <c r="P4" s="17"/>
      <c r="Q4" s="17"/>
      <c r="R4" s="14"/>
      <c r="S4" s="17"/>
      <c r="T4" s="13"/>
      <c r="U4" s="16" t="s">
        <v>2006</v>
      </c>
      <c r="V4" s="17"/>
      <c r="W4" s="17"/>
      <c r="X4" s="17"/>
      <c r="Y4" s="17"/>
    </row>
    <row r="5" spans="1:25" ht="13.5" customHeight="1">
      <c r="A5" s="12">
        <v>3</v>
      </c>
      <c r="B5" s="13" t="s">
        <v>53</v>
      </c>
      <c r="C5" s="13" t="s">
        <v>54</v>
      </c>
      <c r="D5" s="13" t="s">
        <v>55</v>
      </c>
      <c r="E5" s="13" t="s">
        <v>56</v>
      </c>
      <c r="F5" s="14" t="s">
        <v>105</v>
      </c>
      <c r="G5" s="14" t="s">
        <v>106</v>
      </c>
      <c r="H5" s="13"/>
      <c r="I5" s="13" t="s">
        <v>2008</v>
      </c>
      <c r="J5" s="13" t="s">
        <v>104</v>
      </c>
      <c r="K5" s="13" t="s">
        <v>2009</v>
      </c>
      <c r="L5" s="13" t="s">
        <v>2002</v>
      </c>
      <c r="M5" s="18" t="s">
        <v>2003</v>
      </c>
      <c r="N5" s="18"/>
      <c r="O5" s="16" t="s">
        <v>2004</v>
      </c>
      <c r="P5" s="18"/>
      <c r="Q5" s="18"/>
      <c r="R5" s="14" t="s">
        <v>2005</v>
      </c>
      <c r="S5" s="16"/>
      <c r="T5" s="16"/>
      <c r="U5" s="16" t="s">
        <v>2006</v>
      </c>
      <c r="V5" s="17"/>
      <c r="W5" s="17"/>
      <c r="X5" s="17"/>
      <c r="Y5" s="17"/>
    </row>
    <row r="6" spans="1:25" ht="13.5" customHeight="1">
      <c r="A6" s="12">
        <v>4</v>
      </c>
      <c r="B6" s="13" t="s">
        <v>53</v>
      </c>
      <c r="C6" s="13" t="s">
        <v>54</v>
      </c>
      <c r="D6" s="13" t="s">
        <v>55</v>
      </c>
      <c r="E6" s="13" t="s">
        <v>109</v>
      </c>
      <c r="F6" s="14" t="s">
        <v>112</v>
      </c>
      <c r="G6" s="14" t="s">
        <v>113</v>
      </c>
      <c r="H6" s="17"/>
      <c r="I6" s="13" t="s">
        <v>2010</v>
      </c>
      <c r="J6" s="13" t="s">
        <v>111</v>
      </c>
      <c r="K6" s="13" t="s">
        <v>2011</v>
      </c>
      <c r="L6" s="13" t="s">
        <v>2002</v>
      </c>
      <c r="M6" s="18" t="s">
        <v>115</v>
      </c>
      <c r="N6" s="17"/>
      <c r="O6" s="17"/>
      <c r="P6" s="16" t="s">
        <v>2004</v>
      </c>
      <c r="Q6" s="16" t="s">
        <v>2004</v>
      </c>
      <c r="R6" s="14" t="s">
        <v>2012</v>
      </c>
      <c r="S6" s="17"/>
      <c r="T6" s="17"/>
      <c r="U6" s="16" t="s">
        <v>2006</v>
      </c>
      <c r="V6" s="17"/>
      <c r="W6" s="17"/>
      <c r="X6" s="17"/>
      <c r="Y6" s="17"/>
    </row>
    <row r="7" spans="1:25" ht="13.5" customHeight="1">
      <c r="A7" s="12">
        <v>5</v>
      </c>
      <c r="B7" s="13" t="s">
        <v>87</v>
      </c>
      <c r="C7" s="13" t="s">
        <v>54</v>
      </c>
      <c r="D7" s="13" t="s">
        <v>55</v>
      </c>
      <c r="E7" s="13" t="s">
        <v>109</v>
      </c>
      <c r="F7" s="14" t="s">
        <v>133</v>
      </c>
      <c r="G7" s="14" t="s">
        <v>134</v>
      </c>
      <c r="H7" s="17"/>
      <c r="I7" s="13" t="s">
        <v>2010</v>
      </c>
      <c r="J7" s="13" t="s">
        <v>132</v>
      </c>
      <c r="K7" s="13" t="s">
        <v>2013</v>
      </c>
      <c r="L7" s="13" t="s">
        <v>2002</v>
      </c>
      <c r="M7" s="18" t="s">
        <v>2014</v>
      </c>
      <c r="N7" s="17"/>
      <c r="O7" s="17"/>
      <c r="P7" s="16"/>
      <c r="Q7" s="16"/>
      <c r="R7" s="14"/>
      <c r="S7" s="17"/>
      <c r="T7" s="17"/>
      <c r="U7" s="16" t="s">
        <v>2006</v>
      </c>
      <c r="V7" s="17"/>
      <c r="W7" s="17"/>
      <c r="X7" s="17"/>
      <c r="Y7" s="17"/>
    </row>
    <row r="8" spans="1:25" ht="13.5" customHeight="1">
      <c r="A8" s="12">
        <v>6</v>
      </c>
      <c r="B8" s="13" t="s">
        <v>87</v>
      </c>
      <c r="C8" s="13" t="s">
        <v>54</v>
      </c>
      <c r="D8" s="13" t="s">
        <v>55</v>
      </c>
      <c r="E8" s="13" t="s">
        <v>109</v>
      </c>
      <c r="F8" s="14" t="s">
        <v>146</v>
      </c>
      <c r="G8" s="14" t="s">
        <v>147</v>
      </c>
      <c r="H8" s="17"/>
      <c r="I8" s="13" t="s">
        <v>2010</v>
      </c>
      <c r="J8" s="13" t="s">
        <v>145</v>
      </c>
      <c r="K8" s="13" t="s">
        <v>2015</v>
      </c>
      <c r="L8" s="13" t="s">
        <v>2002</v>
      </c>
      <c r="M8" s="18" t="s">
        <v>2016</v>
      </c>
      <c r="N8" s="17"/>
      <c r="O8" s="17"/>
      <c r="P8" s="16"/>
      <c r="Q8" s="16"/>
      <c r="R8" s="14"/>
      <c r="S8" s="17"/>
      <c r="T8" s="17"/>
      <c r="U8" s="16" t="s">
        <v>2006</v>
      </c>
      <c r="V8" s="17"/>
      <c r="W8" s="17"/>
      <c r="X8" s="17"/>
      <c r="Y8" s="17"/>
    </row>
    <row r="9" spans="1:25" ht="13.5" customHeight="1">
      <c r="A9" s="12">
        <v>7</v>
      </c>
      <c r="B9" s="13" t="s">
        <v>53</v>
      </c>
      <c r="C9" s="13" t="s">
        <v>54</v>
      </c>
      <c r="D9" s="13" t="s">
        <v>55</v>
      </c>
      <c r="E9" s="13" t="s">
        <v>109</v>
      </c>
      <c r="F9" s="14" t="s">
        <v>112</v>
      </c>
      <c r="G9" s="14" t="s">
        <v>113</v>
      </c>
      <c r="H9" s="17"/>
      <c r="I9" s="13" t="s">
        <v>2017</v>
      </c>
      <c r="J9" s="13" t="s">
        <v>152</v>
      </c>
      <c r="K9" s="13" t="s">
        <v>2018</v>
      </c>
      <c r="L9" s="13" t="s">
        <v>2002</v>
      </c>
      <c r="M9" s="18" t="s">
        <v>115</v>
      </c>
      <c r="N9" s="17"/>
      <c r="O9" s="17"/>
      <c r="P9" s="16" t="s">
        <v>2004</v>
      </c>
      <c r="Q9" s="16" t="s">
        <v>2004</v>
      </c>
      <c r="R9" s="14" t="s">
        <v>2012</v>
      </c>
      <c r="S9" s="17"/>
      <c r="T9" s="17"/>
      <c r="U9" s="16" t="s">
        <v>2006</v>
      </c>
      <c r="V9" s="17"/>
      <c r="W9" s="17"/>
      <c r="X9" s="17"/>
      <c r="Y9" s="17"/>
    </row>
    <row r="10" spans="1:25" ht="13.5" customHeight="1">
      <c r="A10" s="12">
        <v>8</v>
      </c>
      <c r="B10" s="13" t="s">
        <v>53</v>
      </c>
      <c r="C10" s="13" t="s">
        <v>54</v>
      </c>
      <c r="D10" s="13" t="s">
        <v>55</v>
      </c>
      <c r="E10" s="13" t="s">
        <v>109</v>
      </c>
      <c r="F10" s="14" t="s">
        <v>112</v>
      </c>
      <c r="G10" s="14" t="s">
        <v>113</v>
      </c>
      <c r="H10" s="17"/>
      <c r="I10" s="13" t="s">
        <v>2019</v>
      </c>
      <c r="J10" s="13" t="s">
        <v>156</v>
      </c>
      <c r="K10" s="13" t="s">
        <v>2020</v>
      </c>
      <c r="L10" s="13" t="s">
        <v>2002</v>
      </c>
      <c r="M10" s="18" t="s">
        <v>115</v>
      </c>
      <c r="N10" s="17"/>
      <c r="O10" s="17"/>
      <c r="P10" s="16" t="s">
        <v>2004</v>
      </c>
      <c r="Q10" s="16" t="s">
        <v>2004</v>
      </c>
      <c r="R10" s="14" t="s">
        <v>2012</v>
      </c>
      <c r="S10" s="17"/>
      <c r="T10" s="17"/>
      <c r="U10" s="16" t="s">
        <v>2006</v>
      </c>
      <c r="V10" s="17"/>
      <c r="W10" s="17"/>
      <c r="X10" s="17"/>
      <c r="Y10" s="17"/>
    </row>
    <row r="11" spans="1:25" ht="13.5" customHeight="1">
      <c r="A11" s="12">
        <v>9</v>
      </c>
      <c r="B11" s="13" t="s">
        <v>53</v>
      </c>
      <c r="C11" s="13" t="s">
        <v>54</v>
      </c>
      <c r="D11" s="13" t="s">
        <v>55</v>
      </c>
      <c r="E11" s="13" t="s">
        <v>159</v>
      </c>
      <c r="F11" s="14" t="s">
        <v>162</v>
      </c>
      <c r="G11" s="14" t="s">
        <v>163</v>
      </c>
      <c r="H11" s="17"/>
      <c r="I11" s="13" t="s">
        <v>2021</v>
      </c>
      <c r="J11" s="13" t="s">
        <v>161</v>
      </c>
      <c r="K11" s="13" t="s">
        <v>2022</v>
      </c>
      <c r="L11" s="13" t="s">
        <v>2002</v>
      </c>
      <c r="M11" s="18" t="s">
        <v>165</v>
      </c>
      <c r="N11" s="17"/>
      <c r="O11" s="17"/>
      <c r="P11" s="16" t="s">
        <v>2004</v>
      </c>
      <c r="Q11" s="16" t="s">
        <v>2004</v>
      </c>
      <c r="R11" s="14" t="s">
        <v>2023</v>
      </c>
      <c r="S11" s="17"/>
      <c r="T11" s="17"/>
      <c r="U11" s="16" t="s">
        <v>2006</v>
      </c>
      <c r="V11" s="17"/>
      <c r="W11" s="17"/>
      <c r="X11" s="17"/>
      <c r="Y11" s="17"/>
    </row>
    <row r="12" spans="1:25" ht="13.5" customHeight="1">
      <c r="A12" s="12">
        <v>10</v>
      </c>
      <c r="B12" s="13" t="s">
        <v>53</v>
      </c>
      <c r="C12" s="13" t="s">
        <v>54</v>
      </c>
      <c r="D12" s="13" t="s">
        <v>182</v>
      </c>
      <c r="E12" s="13" t="s">
        <v>183</v>
      </c>
      <c r="F12" s="14" t="s">
        <v>186</v>
      </c>
      <c r="G12" s="14" t="s">
        <v>2024</v>
      </c>
      <c r="H12" s="17"/>
      <c r="I12" s="13" t="s">
        <v>2025</v>
      </c>
      <c r="J12" s="13" t="s">
        <v>185</v>
      </c>
      <c r="K12" s="13" t="s">
        <v>2026</v>
      </c>
      <c r="L12" s="13" t="s">
        <v>2002</v>
      </c>
      <c r="M12" s="14" t="s">
        <v>189</v>
      </c>
      <c r="N12" s="17"/>
      <c r="O12" s="17"/>
      <c r="P12" s="16" t="s">
        <v>2004</v>
      </c>
      <c r="Q12" s="16" t="s">
        <v>2004</v>
      </c>
      <c r="R12" s="14" t="s">
        <v>2027</v>
      </c>
      <c r="S12" s="17"/>
      <c r="T12" s="17"/>
      <c r="U12" s="16" t="s">
        <v>2006</v>
      </c>
      <c r="V12" s="17"/>
      <c r="W12" s="17"/>
      <c r="X12" s="17"/>
      <c r="Y12" s="17"/>
    </row>
    <row r="13" spans="1:25" ht="13.5" customHeight="1">
      <c r="A13" s="12">
        <v>11</v>
      </c>
      <c r="B13" s="13" t="s">
        <v>87</v>
      </c>
      <c r="C13" s="13" t="s">
        <v>54</v>
      </c>
      <c r="D13" s="13" t="s">
        <v>182</v>
      </c>
      <c r="E13" s="13" t="s">
        <v>183</v>
      </c>
      <c r="F13" s="14" t="s">
        <v>208</v>
      </c>
      <c r="G13" s="14" t="s">
        <v>209</v>
      </c>
      <c r="H13" s="17"/>
      <c r="I13" s="13"/>
      <c r="J13" s="13" t="s">
        <v>207</v>
      </c>
      <c r="K13" s="13" t="s">
        <v>2028</v>
      </c>
      <c r="L13" s="13"/>
      <c r="M13" s="14" t="s">
        <v>2029</v>
      </c>
      <c r="N13" s="17"/>
      <c r="O13" s="17"/>
      <c r="P13" s="16"/>
      <c r="Q13" s="16"/>
      <c r="R13" s="14"/>
      <c r="S13" s="17"/>
      <c r="T13" s="17"/>
      <c r="U13" s="16" t="s">
        <v>2006</v>
      </c>
      <c r="V13" s="17"/>
      <c r="W13" s="17"/>
      <c r="X13" s="17"/>
      <c r="Y13" s="17"/>
    </row>
    <row r="14" spans="1:25" ht="13.5" customHeight="1">
      <c r="A14" s="12">
        <v>12</v>
      </c>
      <c r="B14" s="13" t="s">
        <v>53</v>
      </c>
      <c r="C14" s="13" t="s">
        <v>54</v>
      </c>
      <c r="D14" s="13" t="s">
        <v>182</v>
      </c>
      <c r="E14" s="13" t="s">
        <v>183</v>
      </c>
      <c r="F14" s="14" t="s">
        <v>186</v>
      </c>
      <c r="G14" s="14" t="s">
        <v>2024</v>
      </c>
      <c r="H14" s="17"/>
      <c r="I14" s="13" t="s">
        <v>2030</v>
      </c>
      <c r="J14" s="13" t="s">
        <v>221</v>
      </c>
      <c r="K14" s="13" t="s">
        <v>2031</v>
      </c>
      <c r="L14" s="13" t="s">
        <v>2002</v>
      </c>
      <c r="M14" s="14" t="s">
        <v>189</v>
      </c>
      <c r="N14" s="17"/>
      <c r="O14" s="17"/>
      <c r="P14" s="16" t="s">
        <v>2004</v>
      </c>
      <c r="Q14" s="16" t="s">
        <v>2004</v>
      </c>
      <c r="R14" s="14" t="s">
        <v>2027</v>
      </c>
      <c r="S14" s="17"/>
      <c r="T14" s="17"/>
      <c r="U14" s="16" t="s">
        <v>2006</v>
      </c>
      <c r="V14" s="17"/>
      <c r="W14" s="17"/>
      <c r="X14" s="17"/>
      <c r="Y14" s="17"/>
    </row>
    <row r="15" spans="1:25" ht="13.5" customHeight="1">
      <c r="A15" s="12">
        <v>13</v>
      </c>
      <c r="B15" s="13" t="s">
        <v>53</v>
      </c>
      <c r="C15" s="13" t="s">
        <v>54</v>
      </c>
      <c r="D15" s="13" t="s">
        <v>182</v>
      </c>
      <c r="E15" s="13" t="s">
        <v>183</v>
      </c>
      <c r="F15" s="14" t="s">
        <v>186</v>
      </c>
      <c r="G15" s="14" t="s">
        <v>2024</v>
      </c>
      <c r="H15" s="17"/>
      <c r="I15" s="13" t="s">
        <v>2032</v>
      </c>
      <c r="J15" s="13" t="s">
        <v>225</v>
      </c>
      <c r="K15" s="13" t="s">
        <v>2033</v>
      </c>
      <c r="L15" s="13" t="s">
        <v>2002</v>
      </c>
      <c r="M15" s="14" t="s">
        <v>189</v>
      </c>
      <c r="N15" s="17"/>
      <c r="O15" s="17"/>
      <c r="P15" s="16" t="s">
        <v>2004</v>
      </c>
      <c r="Q15" s="16" t="s">
        <v>2004</v>
      </c>
      <c r="R15" s="14" t="s">
        <v>2027</v>
      </c>
      <c r="S15" s="17"/>
      <c r="T15" s="17"/>
      <c r="U15" s="16" t="s">
        <v>2006</v>
      </c>
      <c r="V15" s="17"/>
      <c r="W15" s="17"/>
      <c r="X15" s="17"/>
      <c r="Y15" s="17"/>
    </row>
    <row r="16" spans="1:25" ht="13.5" customHeight="1">
      <c r="A16" s="12">
        <v>14</v>
      </c>
      <c r="B16" s="13" t="s">
        <v>53</v>
      </c>
      <c r="C16" s="13" t="s">
        <v>54</v>
      </c>
      <c r="D16" s="13" t="s">
        <v>182</v>
      </c>
      <c r="E16" s="13" t="s">
        <v>183</v>
      </c>
      <c r="F16" s="14" t="s">
        <v>186</v>
      </c>
      <c r="G16" s="14" t="s">
        <v>2024</v>
      </c>
      <c r="H16" s="17"/>
      <c r="I16" s="13" t="s">
        <v>2034</v>
      </c>
      <c r="J16" s="13" t="s">
        <v>229</v>
      </c>
      <c r="K16" s="13" t="s">
        <v>2035</v>
      </c>
      <c r="L16" s="13" t="s">
        <v>2002</v>
      </c>
      <c r="M16" s="14" t="s">
        <v>189</v>
      </c>
      <c r="N16" s="17"/>
      <c r="O16" s="17"/>
      <c r="P16" s="16" t="s">
        <v>2004</v>
      </c>
      <c r="Q16" s="16" t="s">
        <v>2004</v>
      </c>
      <c r="R16" s="14" t="s">
        <v>2027</v>
      </c>
      <c r="S16" s="17"/>
      <c r="T16" s="17"/>
      <c r="U16" s="16" t="s">
        <v>2006</v>
      </c>
      <c r="V16" s="17"/>
      <c r="W16" s="17"/>
      <c r="X16" s="17"/>
      <c r="Y16" s="17"/>
    </row>
    <row r="17" spans="1:25" ht="13.5" customHeight="1">
      <c r="A17" s="12">
        <v>15</v>
      </c>
      <c r="B17" s="13" t="s">
        <v>53</v>
      </c>
      <c r="C17" s="13" t="s">
        <v>54</v>
      </c>
      <c r="D17" s="13" t="s">
        <v>182</v>
      </c>
      <c r="E17" s="13" t="s">
        <v>183</v>
      </c>
      <c r="F17" s="14" t="s">
        <v>186</v>
      </c>
      <c r="G17" s="14" t="s">
        <v>2024</v>
      </c>
      <c r="H17" s="17"/>
      <c r="I17" s="13" t="s">
        <v>2036</v>
      </c>
      <c r="J17" s="13" t="s">
        <v>233</v>
      </c>
      <c r="K17" s="13" t="s">
        <v>2037</v>
      </c>
      <c r="L17" s="13" t="s">
        <v>2002</v>
      </c>
      <c r="M17" s="14" t="s">
        <v>189</v>
      </c>
      <c r="N17" s="17"/>
      <c r="O17" s="17"/>
      <c r="P17" s="16" t="s">
        <v>2004</v>
      </c>
      <c r="Q17" s="16" t="s">
        <v>2004</v>
      </c>
      <c r="R17" s="14" t="s">
        <v>2027</v>
      </c>
      <c r="S17" s="17"/>
      <c r="T17" s="17"/>
      <c r="U17" s="16" t="s">
        <v>2006</v>
      </c>
      <c r="V17" s="17"/>
      <c r="W17" s="17"/>
      <c r="X17" s="17"/>
      <c r="Y17" s="17"/>
    </row>
    <row r="18" spans="1:25" ht="13.5" customHeight="1">
      <c r="A18" s="12">
        <v>16</v>
      </c>
      <c r="B18" s="13" t="s">
        <v>53</v>
      </c>
      <c r="C18" s="13" t="s">
        <v>54</v>
      </c>
      <c r="D18" s="13" t="s">
        <v>182</v>
      </c>
      <c r="E18" s="13" t="s">
        <v>183</v>
      </c>
      <c r="F18" s="14" t="s">
        <v>186</v>
      </c>
      <c r="G18" s="14" t="s">
        <v>2024</v>
      </c>
      <c r="H18" s="17"/>
      <c r="I18" s="13" t="s">
        <v>2038</v>
      </c>
      <c r="J18" s="13" t="s">
        <v>237</v>
      </c>
      <c r="K18" s="13" t="s">
        <v>2039</v>
      </c>
      <c r="L18" s="13" t="s">
        <v>2002</v>
      </c>
      <c r="M18" s="14" t="s">
        <v>189</v>
      </c>
      <c r="N18" s="17"/>
      <c r="O18" s="17"/>
      <c r="P18" s="16" t="s">
        <v>2004</v>
      </c>
      <c r="Q18" s="16" t="s">
        <v>2004</v>
      </c>
      <c r="R18" s="14" t="s">
        <v>2027</v>
      </c>
      <c r="S18" s="17"/>
      <c r="T18" s="17"/>
      <c r="U18" s="16" t="s">
        <v>2006</v>
      </c>
      <c r="V18" s="17"/>
      <c r="W18" s="17"/>
      <c r="X18" s="17"/>
      <c r="Y18" s="17"/>
    </row>
    <row r="19" spans="1:25" ht="13.5" customHeight="1">
      <c r="A19" s="12">
        <v>17</v>
      </c>
      <c r="B19" s="13" t="s">
        <v>53</v>
      </c>
      <c r="C19" s="13" t="s">
        <v>54</v>
      </c>
      <c r="D19" s="13" t="s">
        <v>182</v>
      </c>
      <c r="E19" s="13" t="s">
        <v>183</v>
      </c>
      <c r="F19" s="14" t="s">
        <v>186</v>
      </c>
      <c r="G19" s="14" t="s">
        <v>2024</v>
      </c>
      <c r="H19" s="17"/>
      <c r="I19" s="13" t="s">
        <v>2040</v>
      </c>
      <c r="J19" s="13" t="s">
        <v>241</v>
      </c>
      <c r="K19" s="13" t="s">
        <v>2041</v>
      </c>
      <c r="L19" s="13" t="s">
        <v>2002</v>
      </c>
      <c r="M19" s="14" t="s">
        <v>189</v>
      </c>
      <c r="N19" s="17"/>
      <c r="O19" s="17"/>
      <c r="P19" s="16" t="s">
        <v>2004</v>
      </c>
      <c r="Q19" s="16" t="s">
        <v>2004</v>
      </c>
      <c r="R19" s="14" t="s">
        <v>2027</v>
      </c>
      <c r="S19" s="17"/>
      <c r="T19" s="17"/>
      <c r="U19" s="16" t="s">
        <v>2006</v>
      </c>
      <c r="V19" s="17"/>
      <c r="W19" s="17"/>
      <c r="X19" s="17"/>
      <c r="Y19" s="17"/>
    </row>
    <row r="20" spans="1:25" ht="13.5" customHeight="1">
      <c r="A20" s="12">
        <v>18</v>
      </c>
      <c r="B20" s="13" t="s">
        <v>53</v>
      </c>
      <c r="C20" s="13" t="s">
        <v>54</v>
      </c>
      <c r="D20" s="13" t="s">
        <v>182</v>
      </c>
      <c r="E20" s="13" t="s">
        <v>244</v>
      </c>
      <c r="F20" s="14" t="s">
        <v>247</v>
      </c>
      <c r="G20" s="14" t="s">
        <v>2042</v>
      </c>
      <c r="H20" s="17"/>
      <c r="I20" s="13" t="s">
        <v>2043</v>
      </c>
      <c r="J20" s="13" t="s">
        <v>246</v>
      </c>
      <c r="K20" s="13" t="s">
        <v>2044</v>
      </c>
      <c r="L20" s="13" t="s">
        <v>2002</v>
      </c>
      <c r="M20" s="14" t="s">
        <v>2045</v>
      </c>
      <c r="N20" s="17"/>
      <c r="O20" s="17"/>
      <c r="P20" s="16" t="s">
        <v>2004</v>
      </c>
      <c r="Q20" s="16" t="s">
        <v>2004</v>
      </c>
      <c r="R20" s="14" t="s">
        <v>2046</v>
      </c>
      <c r="S20" s="17"/>
      <c r="T20" s="17"/>
      <c r="U20" s="16" t="s">
        <v>2006</v>
      </c>
      <c r="V20" s="17"/>
      <c r="W20" s="17"/>
      <c r="X20" s="17"/>
      <c r="Y20" s="17"/>
    </row>
    <row r="21" spans="1:25" ht="13.5" customHeight="1">
      <c r="A21" s="12">
        <v>19</v>
      </c>
      <c r="B21" s="13" t="s">
        <v>87</v>
      </c>
      <c r="C21" s="13" t="s">
        <v>54</v>
      </c>
      <c r="D21" s="13" t="s">
        <v>182</v>
      </c>
      <c r="E21" s="13" t="s">
        <v>244</v>
      </c>
      <c r="F21" s="14" t="s">
        <v>267</v>
      </c>
      <c r="G21" s="14" t="s">
        <v>268</v>
      </c>
      <c r="H21" s="17"/>
      <c r="I21" s="13"/>
      <c r="J21" s="13" t="s">
        <v>266</v>
      </c>
      <c r="K21" s="13" t="s">
        <v>2047</v>
      </c>
      <c r="L21" s="13"/>
      <c r="M21" s="14" t="s">
        <v>2048</v>
      </c>
      <c r="N21" s="17"/>
      <c r="O21" s="17"/>
      <c r="P21" s="16"/>
      <c r="Q21" s="16"/>
      <c r="R21" s="14"/>
      <c r="S21" s="17"/>
      <c r="T21" s="17"/>
      <c r="U21" s="16" t="s">
        <v>2006</v>
      </c>
      <c r="V21" s="17"/>
      <c r="W21" s="17"/>
      <c r="X21" s="17"/>
      <c r="Y21" s="17"/>
    </row>
    <row r="22" spans="1:25" ht="13.5" customHeight="1">
      <c r="A22" s="12">
        <v>20</v>
      </c>
      <c r="B22" s="13" t="s">
        <v>53</v>
      </c>
      <c r="C22" s="13" t="s">
        <v>54</v>
      </c>
      <c r="D22" s="13" t="s">
        <v>182</v>
      </c>
      <c r="E22" s="13" t="s">
        <v>244</v>
      </c>
      <c r="F22" s="14" t="s">
        <v>247</v>
      </c>
      <c r="G22" s="14" t="s">
        <v>2042</v>
      </c>
      <c r="H22" s="17"/>
      <c r="I22" s="13" t="s">
        <v>2049</v>
      </c>
      <c r="J22" s="13" t="s">
        <v>279</v>
      </c>
      <c r="K22" s="13" t="s">
        <v>2050</v>
      </c>
      <c r="L22" s="13" t="s">
        <v>2002</v>
      </c>
      <c r="M22" s="14" t="s">
        <v>2045</v>
      </c>
      <c r="N22" s="17"/>
      <c r="O22" s="17"/>
      <c r="P22" s="16" t="s">
        <v>2004</v>
      </c>
      <c r="Q22" s="16" t="s">
        <v>2004</v>
      </c>
      <c r="R22" s="14" t="s">
        <v>2051</v>
      </c>
      <c r="S22" s="17"/>
      <c r="T22" s="17"/>
      <c r="U22" s="16" t="s">
        <v>2006</v>
      </c>
      <c r="V22" s="17"/>
      <c r="W22" s="17"/>
      <c r="X22" s="17"/>
      <c r="Y22" s="17"/>
    </row>
    <row r="23" spans="1:25" ht="13.5" customHeight="1">
      <c r="A23" s="12">
        <v>21</v>
      </c>
      <c r="B23" s="13" t="s">
        <v>53</v>
      </c>
      <c r="C23" s="13" t="s">
        <v>54</v>
      </c>
      <c r="D23" s="13" t="s">
        <v>182</v>
      </c>
      <c r="E23" s="13" t="s">
        <v>244</v>
      </c>
      <c r="F23" s="14" t="s">
        <v>247</v>
      </c>
      <c r="G23" s="14" t="s">
        <v>2042</v>
      </c>
      <c r="H23" s="17"/>
      <c r="I23" s="13" t="s">
        <v>2052</v>
      </c>
      <c r="J23" s="13" t="s">
        <v>284</v>
      </c>
      <c r="K23" s="13" t="s">
        <v>2053</v>
      </c>
      <c r="L23" s="13" t="s">
        <v>2002</v>
      </c>
      <c r="M23" s="14" t="s">
        <v>2045</v>
      </c>
      <c r="N23" s="17"/>
      <c r="O23" s="17"/>
      <c r="P23" s="16" t="s">
        <v>2004</v>
      </c>
      <c r="Q23" s="16" t="s">
        <v>2004</v>
      </c>
      <c r="R23" s="14" t="s">
        <v>2051</v>
      </c>
      <c r="S23" s="17"/>
      <c r="T23" s="17"/>
      <c r="U23" s="16" t="s">
        <v>2006</v>
      </c>
      <c r="V23" s="17"/>
      <c r="W23" s="17"/>
      <c r="X23" s="17"/>
      <c r="Y23" s="17"/>
    </row>
    <row r="24" spans="1:25" ht="13.5" customHeight="1">
      <c r="A24" s="12">
        <v>22</v>
      </c>
      <c r="B24" s="13" t="s">
        <v>53</v>
      </c>
      <c r="C24" s="13" t="s">
        <v>54</v>
      </c>
      <c r="D24" s="13" t="s">
        <v>182</v>
      </c>
      <c r="E24" s="13" t="s">
        <v>244</v>
      </c>
      <c r="F24" s="14" t="s">
        <v>247</v>
      </c>
      <c r="G24" s="14" t="s">
        <v>2042</v>
      </c>
      <c r="H24" s="17"/>
      <c r="I24" s="13" t="s">
        <v>2054</v>
      </c>
      <c r="J24" s="13" t="s">
        <v>288</v>
      </c>
      <c r="K24" s="13" t="s">
        <v>2055</v>
      </c>
      <c r="L24" s="13" t="s">
        <v>2002</v>
      </c>
      <c r="M24" s="14" t="s">
        <v>2045</v>
      </c>
      <c r="N24" s="17"/>
      <c r="O24" s="17"/>
      <c r="P24" s="16" t="s">
        <v>2004</v>
      </c>
      <c r="Q24" s="16" t="s">
        <v>2004</v>
      </c>
      <c r="R24" s="14" t="s">
        <v>2051</v>
      </c>
      <c r="S24" s="17"/>
      <c r="T24" s="17"/>
      <c r="U24" s="16" t="s">
        <v>2006</v>
      </c>
      <c r="V24" s="17"/>
      <c r="W24" s="17"/>
      <c r="X24" s="17"/>
      <c r="Y24" s="17"/>
    </row>
    <row r="25" spans="1:25" ht="13.5" customHeight="1">
      <c r="A25" s="12">
        <v>23</v>
      </c>
      <c r="B25" s="13" t="s">
        <v>53</v>
      </c>
      <c r="C25" s="13" t="s">
        <v>54</v>
      </c>
      <c r="D25" s="13" t="s">
        <v>182</v>
      </c>
      <c r="E25" s="13" t="s">
        <v>244</v>
      </c>
      <c r="F25" s="14" t="s">
        <v>247</v>
      </c>
      <c r="G25" s="14" t="s">
        <v>2042</v>
      </c>
      <c r="H25" s="17"/>
      <c r="I25" s="13" t="s">
        <v>2056</v>
      </c>
      <c r="J25" s="13" t="s">
        <v>292</v>
      </c>
      <c r="K25" s="13" t="s">
        <v>2057</v>
      </c>
      <c r="L25" s="13" t="s">
        <v>2002</v>
      </c>
      <c r="M25" s="14" t="s">
        <v>2045</v>
      </c>
      <c r="N25" s="17"/>
      <c r="O25" s="17"/>
      <c r="P25" s="16" t="s">
        <v>2004</v>
      </c>
      <c r="Q25" s="16" t="s">
        <v>2004</v>
      </c>
      <c r="R25" s="14" t="s">
        <v>2051</v>
      </c>
      <c r="S25" s="17"/>
      <c r="T25" s="17"/>
      <c r="U25" s="16" t="s">
        <v>2006</v>
      </c>
      <c r="V25" s="17"/>
      <c r="W25" s="17"/>
      <c r="X25" s="17"/>
      <c r="Y25" s="17"/>
    </row>
    <row r="26" spans="1:25" ht="13.5" customHeight="1">
      <c r="A26" s="12">
        <v>24</v>
      </c>
      <c r="B26" s="13" t="s">
        <v>53</v>
      </c>
      <c r="C26" s="13" t="s">
        <v>54</v>
      </c>
      <c r="D26" s="13" t="s">
        <v>182</v>
      </c>
      <c r="E26" s="13" t="s">
        <v>244</v>
      </c>
      <c r="F26" s="14" t="s">
        <v>247</v>
      </c>
      <c r="G26" s="14" t="s">
        <v>2042</v>
      </c>
      <c r="H26" s="17"/>
      <c r="I26" s="13" t="s">
        <v>2058</v>
      </c>
      <c r="J26" s="13" t="s">
        <v>296</v>
      </c>
      <c r="K26" s="13" t="s">
        <v>2059</v>
      </c>
      <c r="L26" s="13" t="s">
        <v>2002</v>
      </c>
      <c r="M26" s="14" t="s">
        <v>2045</v>
      </c>
      <c r="N26" s="17"/>
      <c r="O26" s="17"/>
      <c r="P26" s="16" t="s">
        <v>2004</v>
      </c>
      <c r="Q26" s="16" t="s">
        <v>2004</v>
      </c>
      <c r="R26" s="14" t="s">
        <v>2051</v>
      </c>
      <c r="S26" s="17"/>
      <c r="T26" s="17"/>
      <c r="U26" s="16" t="s">
        <v>2006</v>
      </c>
      <c r="V26" s="17"/>
      <c r="W26" s="17"/>
      <c r="X26" s="17"/>
      <c r="Y26" s="17"/>
    </row>
    <row r="27" spans="1:25" ht="13.5" customHeight="1">
      <c r="A27" s="12">
        <v>25</v>
      </c>
      <c r="B27" s="13" t="s">
        <v>53</v>
      </c>
      <c r="C27" s="13" t="s">
        <v>54</v>
      </c>
      <c r="D27" s="13" t="s">
        <v>182</v>
      </c>
      <c r="E27" s="13" t="s">
        <v>244</v>
      </c>
      <c r="F27" s="14" t="s">
        <v>247</v>
      </c>
      <c r="G27" s="14" t="s">
        <v>2042</v>
      </c>
      <c r="H27" s="17"/>
      <c r="I27" s="13" t="s">
        <v>2060</v>
      </c>
      <c r="J27" s="13" t="s">
        <v>300</v>
      </c>
      <c r="K27" s="13" t="s">
        <v>2061</v>
      </c>
      <c r="L27" s="13" t="s">
        <v>2002</v>
      </c>
      <c r="M27" s="14" t="s">
        <v>2045</v>
      </c>
      <c r="N27" s="17"/>
      <c r="O27" s="17"/>
      <c r="P27" s="16" t="s">
        <v>2004</v>
      </c>
      <c r="Q27" s="16" t="s">
        <v>2004</v>
      </c>
      <c r="R27" s="14" t="s">
        <v>2051</v>
      </c>
      <c r="S27" s="17"/>
      <c r="T27" s="17"/>
      <c r="U27" s="16" t="s">
        <v>2006</v>
      </c>
      <c r="V27" s="17"/>
      <c r="W27" s="17"/>
      <c r="X27" s="17"/>
      <c r="Y27" s="17"/>
    </row>
    <row r="28" spans="1:25" ht="13.5" customHeight="1">
      <c r="A28" s="12">
        <v>26</v>
      </c>
      <c r="B28" s="13" t="s">
        <v>53</v>
      </c>
      <c r="C28" s="13" t="s">
        <v>54</v>
      </c>
      <c r="D28" s="13" t="s">
        <v>182</v>
      </c>
      <c r="E28" s="13" t="s">
        <v>244</v>
      </c>
      <c r="F28" s="14" t="s">
        <v>247</v>
      </c>
      <c r="G28" s="14" t="s">
        <v>2042</v>
      </c>
      <c r="H28" s="17"/>
      <c r="I28" s="13" t="s">
        <v>2062</v>
      </c>
      <c r="J28" s="13" t="s">
        <v>304</v>
      </c>
      <c r="K28" s="13" t="s">
        <v>2063</v>
      </c>
      <c r="L28" s="13" t="s">
        <v>2002</v>
      </c>
      <c r="M28" s="14" t="s">
        <v>2045</v>
      </c>
      <c r="N28" s="17"/>
      <c r="O28" s="17"/>
      <c r="P28" s="16" t="s">
        <v>2004</v>
      </c>
      <c r="Q28" s="16" t="s">
        <v>2004</v>
      </c>
      <c r="R28" s="14" t="s">
        <v>2051</v>
      </c>
      <c r="S28" s="17"/>
      <c r="T28" s="17"/>
      <c r="U28" s="16" t="s">
        <v>2006</v>
      </c>
      <c r="V28" s="17"/>
      <c r="W28" s="17"/>
      <c r="X28" s="17"/>
      <c r="Y28" s="17"/>
    </row>
    <row r="29" spans="1:25" ht="13.5" customHeight="1">
      <c r="A29" s="12">
        <v>27</v>
      </c>
      <c r="B29" s="13" t="s">
        <v>53</v>
      </c>
      <c r="C29" s="13" t="s">
        <v>54</v>
      </c>
      <c r="D29" s="13" t="s">
        <v>182</v>
      </c>
      <c r="E29" s="13" t="s">
        <v>244</v>
      </c>
      <c r="F29" s="14" t="s">
        <v>247</v>
      </c>
      <c r="G29" s="14" t="s">
        <v>2042</v>
      </c>
      <c r="H29" s="17"/>
      <c r="I29" s="13" t="s">
        <v>2064</v>
      </c>
      <c r="J29" s="13" t="s">
        <v>308</v>
      </c>
      <c r="K29" s="13" t="s">
        <v>2065</v>
      </c>
      <c r="L29" s="13" t="s">
        <v>2002</v>
      </c>
      <c r="M29" s="14" t="s">
        <v>2045</v>
      </c>
      <c r="N29" s="17"/>
      <c r="O29" s="17"/>
      <c r="P29" s="16" t="s">
        <v>2004</v>
      </c>
      <c r="Q29" s="16" t="s">
        <v>2004</v>
      </c>
      <c r="R29" s="14" t="s">
        <v>2051</v>
      </c>
      <c r="S29" s="17"/>
      <c r="T29" s="17"/>
      <c r="U29" s="16" t="s">
        <v>2006</v>
      </c>
      <c r="V29" s="17"/>
      <c r="W29" s="17"/>
      <c r="X29" s="17"/>
      <c r="Y29" s="17"/>
    </row>
    <row r="30" spans="1:25" ht="13.5" customHeight="1">
      <c r="A30" s="12">
        <v>28</v>
      </c>
      <c r="B30" s="13" t="s">
        <v>53</v>
      </c>
      <c r="C30" s="13" t="s">
        <v>54</v>
      </c>
      <c r="D30" s="13" t="s">
        <v>182</v>
      </c>
      <c r="E30" s="13" t="s">
        <v>244</v>
      </c>
      <c r="F30" s="14" t="s">
        <v>247</v>
      </c>
      <c r="G30" s="14" t="s">
        <v>2042</v>
      </c>
      <c r="H30" s="17"/>
      <c r="I30" s="13" t="s">
        <v>2066</v>
      </c>
      <c r="J30" s="13" t="s">
        <v>312</v>
      </c>
      <c r="K30" s="13" t="s">
        <v>2067</v>
      </c>
      <c r="L30" s="13" t="s">
        <v>2002</v>
      </c>
      <c r="M30" s="14" t="s">
        <v>2045</v>
      </c>
      <c r="N30" s="17"/>
      <c r="O30" s="17"/>
      <c r="P30" s="16" t="s">
        <v>2004</v>
      </c>
      <c r="Q30" s="16" t="s">
        <v>2004</v>
      </c>
      <c r="R30" s="14" t="s">
        <v>2051</v>
      </c>
      <c r="S30" s="17"/>
      <c r="T30" s="17"/>
      <c r="U30" s="16" t="s">
        <v>2006</v>
      </c>
      <c r="V30" s="17"/>
      <c r="W30" s="17"/>
      <c r="X30" s="17"/>
      <c r="Y30" s="17"/>
    </row>
    <row r="31" spans="1:25" ht="13.5" customHeight="1">
      <c r="A31" s="12">
        <v>29</v>
      </c>
      <c r="B31" s="13" t="s">
        <v>53</v>
      </c>
      <c r="C31" s="13" t="s">
        <v>54</v>
      </c>
      <c r="D31" s="13" t="s">
        <v>182</v>
      </c>
      <c r="E31" s="13" t="s">
        <v>244</v>
      </c>
      <c r="F31" s="14" t="s">
        <v>247</v>
      </c>
      <c r="G31" s="14" t="s">
        <v>2042</v>
      </c>
      <c r="H31" s="17"/>
      <c r="I31" s="13" t="s">
        <v>2068</v>
      </c>
      <c r="J31" s="13" t="s">
        <v>316</v>
      </c>
      <c r="K31" s="13" t="s">
        <v>2069</v>
      </c>
      <c r="L31" s="13" t="s">
        <v>2002</v>
      </c>
      <c r="M31" s="14" t="s">
        <v>2045</v>
      </c>
      <c r="N31" s="17"/>
      <c r="O31" s="17"/>
      <c r="P31" s="16" t="s">
        <v>2004</v>
      </c>
      <c r="Q31" s="16" t="s">
        <v>2004</v>
      </c>
      <c r="R31" s="14" t="s">
        <v>2051</v>
      </c>
      <c r="S31" s="17"/>
      <c r="T31" s="17"/>
      <c r="U31" s="16" t="s">
        <v>2006</v>
      </c>
      <c r="V31" s="17"/>
      <c r="W31" s="17"/>
      <c r="X31" s="17"/>
      <c r="Y31" s="17"/>
    </row>
    <row r="32" spans="1:25" ht="13.5" customHeight="1">
      <c r="A32" s="12">
        <v>30</v>
      </c>
      <c r="B32" s="13" t="s">
        <v>53</v>
      </c>
      <c r="C32" s="13" t="s">
        <v>54</v>
      </c>
      <c r="D32" s="13" t="s">
        <v>182</v>
      </c>
      <c r="E32" s="13" t="s">
        <v>244</v>
      </c>
      <c r="F32" s="14" t="s">
        <v>247</v>
      </c>
      <c r="G32" s="14" t="s">
        <v>2042</v>
      </c>
      <c r="H32" s="17"/>
      <c r="I32" s="13" t="s">
        <v>2070</v>
      </c>
      <c r="J32" s="13" t="s">
        <v>320</v>
      </c>
      <c r="K32" s="13" t="s">
        <v>2071</v>
      </c>
      <c r="L32" s="13" t="s">
        <v>2002</v>
      </c>
      <c r="M32" s="14" t="s">
        <v>2045</v>
      </c>
      <c r="N32" s="17"/>
      <c r="O32" s="17"/>
      <c r="P32" s="16" t="s">
        <v>2004</v>
      </c>
      <c r="Q32" s="16" t="s">
        <v>2004</v>
      </c>
      <c r="R32" s="14" t="s">
        <v>2051</v>
      </c>
      <c r="S32" s="17"/>
      <c r="T32" s="17"/>
      <c r="U32" s="16" t="s">
        <v>2006</v>
      </c>
      <c r="V32" s="17"/>
      <c r="W32" s="17"/>
      <c r="X32" s="17"/>
      <c r="Y32" s="17"/>
    </row>
    <row r="33" spans="1:25" ht="13.5" customHeight="1">
      <c r="A33" s="12">
        <v>31</v>
      </c>
      <c r="B33" s="13" t="s">
        <v>53</v>
      </c>
      <c r="C33" s="13" t="s">
        <v>54</v>
      </c>
      <c r="D33" s="13" t="s">
        <v>182</v>
      </c>
      <c r="E33" s="13" t="s">
        <v>323</v>
      </c>
      <c r="F33" s="14" t="s">
        <v>326</v>
      </c>
      <c r="G33" s="14" t="s">
        <v>327</v>
      </c>
      <c r="H33" s="17"/>
      <c r="I33" s="13" t="s">
        <v>2072</v>
      </c>
      <c r="J33" s="13" t="s">
        <v>325</v>
      </c>
      <c r="K33" s="13" t="s">
        <v>2073</v>
      </c>
      <c r="L33" s="13" t="s">
        <v>2002</v>
      </c>
      <c r="M33" s="14" t="s">
        <v>2074</v>
      </c>
      <c r="N33" s="17"/>
      <c r="O33" s="17"/>
      <c r="P33" s="16" t="s">
        <v>2004</v>
      </c>
      <c r="Q33" s="16" t="s">
        <v>2004</v>
      </c>
      <c r="R33" s="14" t="s">
        <v>2075</v>
      </c>
      <c r="S33" s="17"/>
      <c r="T33" s="17"/>
      <c r="U33" s="16" t="s">
        <v>2006</v>
      </c>
      <c r="V33" s="17"/>
      <c r="W33" s="17"/>
      <c r="X33" s="17"/>
      <c r="Y33" s="17"/>
    </row>
    <row r="34" spans="1:25" ht="13.5" customHeight="1">
      <c r="A34" s="12">
        <v>32</v>
      </c>
      <c r="B34" s="13" t="s">
        <v>53</v>
      </c>
      <c r="C34" s="13" t="s">
        <v>54</v>
      </c>
      <c r="D34" s="13" t="s">
        <v>182</v>
      </c>
      <c r="E34" s="13" t="s">
        <v>323</v>
      </c>
      <c r="F34" s="14" t="s">
        <v>326</v>
      </c>
      <c r="G34" s="14" t="s">
        <v>327</v>
      </c>
      <c r="H34" s="17"/>
      <c r="I34" s="13" t="s">
        <v>2076</v>
      </c>
      <c r="J34" s="13" t="s">
        <v>345</v>
      </c>
      <c r="K34" s="13" t="s">
        <v>2077</v>
      </c>
      <c r="L34" s="13" t="s">
        <v>2002</v>
      </c>
      <c r="M34" s="14" t="s">
        <v>2074</v>
      </c>
      <c r="N34" s="17"/>
      <c r="O34" s="17"/>
      <c r="P34" s="16" t="s">
        <v>2004</v>
      </c>
      <c r="Q34" s="16" t="s">
        <v>2004</v>
      </c>
      <c r="R34" s="14" t="s">
        <v>2075</v>
      </c>
      <c r="S34" s="17"/>
      <c r="T34" s="17"/>
      <c r="U34" s="16" t="s">
        <v>2006</v>
      </c>
      <c r="V34" s="17"/>
      <c r="W34" s="17"/>
      <c r="X34" s="17"/>
      <c r="Y34" s="17"/>
    </row>
    <row r="35" spans="1:25" ht="13.5" customHeight="1">
      <c r="A35" s="12">
        <v>33</v>
      </c>
      <c r="B35" s="13" t="s">
        <v>53</v>
      </c>
      <c r="C35" s="13" t="s">
        <v>54</v>
      </c>
      <c r="D35" s="13" t="s">
        <v>182</v>
      </c>
      <c r="E35" s="13" t="s">
        <v>323</v>
      </c>
      <c r="F35" s="14" t="s">
        <v>326</v>
      </c>
      <c r="G35" s="14" t="s">
        <v>327</v>
      </c>
      <c r="H35" s="17"/>
      <c r="I35" s="13" t="s">
        <v>2078</v>
      </c>
      <c r="J35" s="13" t="s">
        <v>349</v>
      </c>
      <c r="K35" s="13" t="s">
        <v>2079</v>
      </c>
      <c r="L35" s="13" t="s">
        <v>2002</v>
      </c>
      <c r="M35" s="14" t="s">
        <v>2074</v>
      </c>
      <c r="N35" s="17"/>
      <c r="O35" s="17"/>
      <c r="P35" s="16" t="s">
        <v>2004</v>
      </c>
      <c r="Q35" s="16" t="s">
        <v>2004</v>
      </c>
      <c r="R35" s="14" t="s">
        <v>2075</v>
      </c>
      <c r="S35" s="17"/>
      <c r="T35" s="17"/>
      <c r="U35" s="16" t="s">
        <v>2006</v>
      </c>
      <c r="V35" s="17"/>
      <c r="W35" s="17"/>
      <c r="X35" s="17"/>
      <c r="Y35" s="17"/>
    </row>
    <row r="36" spans="1:25" ht="13.5" customHeight="1">
      <c r="A36" s="12">
        <v>34</v>
      </c>
      <c r="B36" s="13" t="s">
        <v>53</v>
      </c>
      <c r="C36" s="13" t="s">
        <v>54</v>
      </c>
      <c r="D36" s="13" t="s">
        <v>182</v>
      </c>
      <c r="E36" s="13" t="s">
        <v>323</v>
      </c>
      <c r="F36" s="14" t="s">
        <v>326</v>
      </c>
      <c r="G36" s="14" t="s">
        <v>327</v>
      </c>
      <c r="H36" s="17"/>
      <c r="I36" s="13" t="s">
        <v>2080</v>
      </c>
      <c r="J36" s="13" t="s">
        <v>353</v>
      </c>
      <c r="K36" s="13" t="s">
        <v>2081</v>
      </c>
      <c r="L36" s="13" t="s">
        <v>2002</v>
      </c>
      <c r="M36" s="14" t="s">
        <v>2074</v>
      </c>
      <c r="N36" s="17"/>
      <c r="O36" s="17"/>
      <c r="P36" s="16" t="s">
        <v>2004</v>
      </c>
      <c r="Q36" s="16" t="s">
        <v>2004</v>
      </c>
      <c r="R36" s="14" t="s">
        <v>2075</v>
      </c>
      <c r="S36" s="17"/>
      <c r="T36" s="17"/>
      <c r="U36" s="16" t="s">
        <v>2006</v>
      </c>
      <c r="V36" s="17"/>
      <c r="W36" s="17"/>
      <c r="X36" s="17"/>
      <c r="Y36" s="17"/>
    </row>
    <row r="37" spans="1:25" ht="13.5" customHeight="1">
      <c r="A37" s="12">
        <v>35</v>
      </c>
      <c r="B37" s="13" t="s">
        <v>53</v>
      </c>
      <c r="C37" s="13" t="s">
        <v>54</v>
      </c>
      <c r="D37" s="13" t="s">
        <v>356</v>
      </c>
      <c r="E37" s="13" t="s">
        <v>357</v>
      </c>
      <c r="F37" s="14" t="s">
        <v>361</v>
      </c>
      <c r="G37" s="14" t="s">
        <v>362</v>
      </c>
      <c r="H37" s="17"/>
      <c r="I37" s="13" t="s">
        <v>2082</v>
      </c>
      <c r="J37" s="13" t="s">
        <v>360</v>
      </c>
      <c r="K37" s="13" t="s">
        <v>2083</v>
      </c>
      <c r="L37" s="13" t="s">
        <v>2002</v>
      </c>
      <c r="M37" s="14" t="s">
        <v>364</v>
      </c>
      <c r="N37" s="17"/>
      <c r="O37" s="17"/>
      <c r="P37" s="16" t="s">
        <v>2004</v>
      </c>
      <c r="Q37" s="16" t="s">
        <v>2004</v>
      </c>
      <c r="R37" s="14" t="s">
        <v>2084</v>
      </c>
      <c r="S37" s="17"/>
      <c r="T37" s="17"/>
      <c r="U37" s="16" t="s">
        <v>2006</v>
      </c>
      <c r="V37" s="17"/>
      <c r="W37" s="17"/>
      <c r="X37" s="17"/>
      <c r="Y37" s="17"/>
    </row>
    <row r="38" spans="1:25" ht="13.5" customHeight="1">
      <c r="A38" s="12">
        <v>36</v>
      </c>
      <c r="B38" s="13" t="s">
        <v>53</v>
      </c>
      <c r="C38" s="13" t="s">
        <v>54</v>
      </c>
      <c r="D38" s="13" t="s">
        <v>356</v>
      </c>
      <c r="E38" s="13" t="s">
        <v>370</v>
      </c>
      <c r="F38" s="14" t="s">
        <v>373</v>
      </c>
      <c r="G38" s="14" t="s">
        <v>374</v>
      </c>
      <c r="H38" s="17"/>
      <c r="I38" s="13" t="s">
        <v>2085</v>
      </c>
      <c r="J38" s="13" t="s">
        <v>372</v>
      </c>
      <c r="K38" s="13" t="s">
        <v>2086</v>
      </c>
      <c r="L38" s="13" t="s">
        <v>2002</v>
      </c>
      <c r="M38" s="14" t="s">
        <v>2087</v>
      </c>
      <c r="N38" s="17"/>
      <c r="O38" s="17"/>
      <c r="P38" s="16" t="s">
        <v>2004</v>
      </c>
      <c r="Q38" s="16" t="s">
        <v>2004</v>
      </c>
      <c r="R38" s="14" t="s">
        <v>2088</v>
      </c>
      <c r="S38" s="17"/>
      <c r="T38" s="17"/>
      <c r="U38" s="16" t="s">
        <v>2006</v>
      </c>
      <c r="V38" s="17"/>
      <c r="W38" s="17"/>
      <c r="X38" s="17"/>
      <c r="Y38" s="17"/>
    </row>
    <row r="39" spans="1:25" ht="13.5" customHeight="1">
      <c r="A39" s="12">
        <v>37</v>
      </c>
      <c r="B39" s="13" t="s">
        <v>53</v>
      </c>
      <c r="C39" s="13" t="s">
        <v>54</v>
      </c>
      <c r="D39" s="13" t="s">
        <v>356</v>
      </c>
      <c r="E39" s="13" t="s">
        <v>370</v>
      </c>
      <c r="F39" s="14" t="s">
        <v>373</v>
      </c>
      <c r="G39" s="14" t="s">
        <v>374</v>
      </c>
      <c r="H39" s="17"/>
      <c r="I39" s="13" t="s">
        <v>2089</v>
      </c>
      <c r="J39" s="13" t="s">
        <v>381</v>
      </c>
      <c r="K39" s="13" t="s">
        <v>2090</v>
      </c>
      <c r="L39" s="13" t="s">
        <v>2002</v>
      </c>
      <c r="M39" s="14" t="s">
        <v>2087</v>
      </c>
      <c r="N39" s="17"/>
      <c r="O39" s="17"/>
      <c r="P39" s="16" t="s">
        <v>2004</v>
      </c>
      <c r="Q39" s="16" t="s">
        <v>2004</v>
      </c>
      <c r="R39" s="14" t="s">
        <v>2088</v>
      </c>
      <c r="S39" s="17"/>
      <c r="T39" s="17"/>
      <c r="U39" s="16" t="s">
        <v>2006</v>
      </c>
      <c r="V39" s="17"/>
      <c r="W39" s="17"/>
      <c r="X39" s="17"/>
      <c r="Y39" s="17"/>
    </row>
    <row r="40" spans="1:25" ht="13.5" customHeight="1">
      <c r="A40" s="12">
        <v>38</v>
      </c>
      <c r="B40" s="13" t="s">
        <v>53</v>
      </c>
      <c r="C40" s="13" t="s">
        <v>54</v>
      </c>
      <c r="D40" s="13" t="s">
        <v>356</v>
      </c>
      <c r="E40" s="13" t="s">
        <v>370</v>
      </c>
      <c r="F40" s="14" t="s">
        <v>373</v>
      </c>
      <c r="G40" s="14" t="s">
        <v>374</v>
      </c>
      <c r="H40" s="17"/>
      <c r="I40" s="13" t="s">
        <v>2091</v>
      </c>
      <c r="J40" s="13" t="s">
        <v>385</v>
      </c>
      <c r="K40" s="13" t="s">
        <v>2092</v>
      </c>
      <c r="L40" s="13" t="s">
        <v>2002</v>
      </c>
      <c r="M40" s="14" t="s">
        <v>2087</v>
      </c>
      <c r="N40" s="17"/>
      <c r="O40" s="16" t="s">
        <v>2004</v>
      </c>
      <c r="P40" s="16"/>
      <c r="Q40" s="16"/>
      <c r="R40" s="14" t="s">
        <v>2088</v>
      </c>
      <c r="S40" s="17"/>
      <c r="T40" s="17"/>
      <c r="U40" s="16" t="s">
        <v>2006</v>
      </c>
      <c r="V40" s="17"/>
      <c r="W40" s="17"/>
      <c r="X40" s="17"/>
      <c r="Y40" s="17"/>
    </row>
    <row r="41" spans="1:25" ht="13.5" customHeight="1">
      <c r="A41" s="12">
        <v>39</v>
      </c>
      <c r="B41" s="13" t="s">
        <v>53</v>
      </c>
      <c r="C41" s="13" t="s">
        <v>54</v>
      </c>
      <c r="D41" s="13" t="s">
        <v>388</v>
      </c>
      <c r="E41" s="13" t="s">
        <v>389</v>
      </c>
      <c r="F41" s="14" t="s">
        <v>392</v>
      </c>
      <c r="G41" s="14" t="s">
        <v>393</v>
      </c>
      <c r="H41" s="17"/>
      <c r="I41" s="13" t="s">
        <v>2093</v>
      </c>
      <c r="J41" s="13" t="s">
        <v>391</v>
      </c>
      <c r="K41" s="13" t="s">
        <v>2094</v>
      </c>
      <c r="L41" s="13" t="s">
        <v>2002</v>
      </c>
      <c r="M41" s="14" t="s">
        <v>395</v>
      </c>
      <c r="N41" s="17"/>
      <c r="O41" s="16" t="s">
        <v>2004</v>
      </c>
      <c r="P41" s="16" t="s">
        <v>2004</v>
      </c>
      <c r="Q41" s="17"/>
      <c r="R41" s="14" t="s">
        <v>2095</v>
      </c>
      <c r="S41" s="17"/>
      <c r="T41" s="17"/>
      <c r="U41" s="16" t="s">
        <v>2006</v>
      </c>
      <c r="V41" s="17"/>
      <c r="W41" s="17"/>
      <c r="X41" s="17"/>
      <c r="Y41" s="17"/>
    </row>
    <row r="42" spans="1:25" ht="13.5" customHeight="1">
      <c r="A42" s="12">
        <v>40</v>
      </c>
      <c r="B42" s="13" t="s">
        <v>53</v>
      </c>
      <c r="C42" s="13" t="s">
        <v>54</v>
      </c>
      <c r="D42" s="13" t="s">
        <v>388</v>
      </c>
      <c r="E42" s="13" t="s">
        <v>389</v>
      </c>
      <c r="F42" s="14" t="s">
        <v>392</v>
      </c>
      <c r="G42" s="14" t="s">
        <v>393</v>
      </c>
      <c r="H42" s="17"/>
      <c r="I42" s="13" t="s">
        <v>2096</v>
      </c>
      <c r="J42" s="13" t="s">
        <v>401</v>
      </c>
      <c r="K42" s="13" t="s">
        <v>2097</v>
      </c>
      <c r="L42" s="13" t="s">
        <v>2002</v>
      </c>
      <c r="M42" s="14" t="s">
        <v>395</v>
      </c>
      <c r="N42" s="17"/>
      <c r="O42" s="17"/>
      <c r="P42" s="16" t="s">
        <v>2004</v>
      </c>
      <c r="Q42" s="16" t="s">
        <v>2004</v>
      </c>
      <c r="R42" s="14" t="s">
        <v>2095</v>
      </c>
      <c r="S42" s="17"/>
      <c r="T42" s="17"/>
      <c r="U42" s="16" t="s">
        <v>2006</v>
      </c>
      <c r="V42" s="17"/>
      <c r="W42" s="17"/>
      <c r="X42" s="17"/>
      <c r="Y42" s="17"/>
    </row>
    <row r="43" spans="1:25" ht="13.5" customHeight="1">
      <c r="A43" s="12">
        <v>41</v>
      </c>
      <c r="B43" s="13" t="s">
        <v>53</v>
      </c>
      <c r="C43" s="13" t="s">
        <v>54</v>
      </c>
      <c r="D43" s="13" t="s">
        <v>388</v>
      </c>
      <c r="E43" s="13" t="s">
        <v>404</v>
      </c>
      <c r="F43" s="14" t="s">
        <v>407</v>
      </c>
      <c r="G43" s="14" t="s">
        <v>2098</v>
      </c>
      <c r="H43" s="17"/>
      <c r="I43" s="13" t="s">
        <v>2099</v>
      </c>
      <c r="J43" s="13" t="s">
        <v>406</v>
      </c>
      <c r="K43" s="13" t="s">
        <v>2100</v>
      </c>
      <c r="L43" s="13" t="s">
        <v>2002</v>
      </c>
      <c r="M43" s="14" t="s">
        <v>2101</v>
      </c>
      <c r="N43" s="17"/>
      <c r="O43" s="17"/>
      <c r="P43" s="16" t="s">
        <v>2004</v>
      </c>
      <c r="Q43" s="16" t="s">
        <v>2004</v>
      </c>
      <c r="R43" s="14" t="s">
        <v>2102</v>
      </c>
      <c r="S43" s="17"/>
      <c r="T43" s="17"/>
      <c r="U43" s="16" t="s">
        <v>2006</v>
      </c>
      <c r="V43" s="17"/>
      <c r="W43" s="17"/>
      <c r="X43" s="17"/>
      <c r="Y43" s="17"/>
    </row>
    <row r="44" spans="1:25" ht="13.5" customHeight="1">
      <c r="A44" s="12">
        <v>42</v>
      </c>
      <c r="B44" s="13" t="s">
        <v>53</v>
      </c>
      <c r="C44" s="13" t="s">
        <v>54</v>
      </c>
      <c r="D44" s="13" t="s">
        <v>388</v>
      </c>
      <c r="E44" s="13" t="s">
        <v>404</v>
      </c>
      <c r="F44" s="14" t="s">
        <v>407</v>
      </c>
      <c r="G44" s="14" t="s">
        <v>2098</v>
      </c>
      <c r="H44" s="17"/>
      <c r="I44" s="13" t="s">
        <v>2103</v>
      </c>
      <c r="J44" s="13" t="s">
        <v>414</v>
      </c>
      <c r="K44" s="13" t="s">
        <v>2104</v>
      </c>
      <c r="L44" s="13" t="s">
        <v>2002</v>
      </c>
      <c r="M44" s="14" t="s">
        <v>2101</v>
      </c>
      <c r="N44" s="17"/>
      <c r="O44" s="17"/>
      <c r="P44" s="16" t="s">
        <v>2004</v>
      </c>
      <c r="Q44" s="16" t="s">
        <v>2004</v>
      </c>
      <c r="R44" s="14" t="s">
        <v>2102</v>
      </c>
      <c r="S44" s="17"/>
      <c r="T44" s="17"/>
      <c r="U44" s="16" t="s">
        <v>2006</v>
      </c>
      <c r="V44" s="17"/>
      <c r="W44" s="17"/>
      <c r="X44" s="17"/>
      <c r="Y44" s="17"/>
    </row>
    <row r="45" spans="1:25" ht="13.5" customHeight="1">
      <c r="A45" s="12">
        <v>43</v>
      </c>
      <c r="B45" s="13" t="s">
        <v>53</v>
      </c>
      <c r="C45" s="13" t="s">
        <v>54</v>
      </c>
      <c r="D45" s="13" t="s">
        <v>388</v>
      </c>
      <c r="E45" s="13" t="s">
        <v>404</v>
      </c>
      <c r="F45" s="14" t="s">
        <v>407</v>
      </c>
      <c r="G45" s="14" t="s">
        <v>419</v>
      </c>
      <c r="H45" s="17"/>
      <c r="I45" s="13" t="s">
        <v>2105</v>
      </c>
      <c r="J45" s="13" t="s">
        <v>418</v>
      </c>
      <c r="K45" s="13" t="s">
        <v>2106</v>
      </c>
      <c r="L45" s="13" t="s">
        <v>2002</v>
      </c>
      <c r="M45" s="14" t="s">
        <v>2101</v>
      </c>
      <c r="N45" s="17"/>
      <c r="O45" s="17"/>
      <c r="P45" s="16" t="s">
        <v>2004</v>
      </c>
      <c r="Q45" s="16" t="s">
        <v>2004</v>
      </c>
      <c r="R45" s="14" t="s">
        <v>2102</v>
      </c>
      <c r="S45" s="17"/>
      <c r="T45" s="17"/>
      <c r="U45" s="16" t="s">
        <v>2006</v>
      </c>
      <c r="V45" s="17"/>
      <c r="W45" s="17"/>
      <c r="X45" s="17"/>
      <c r="Y45" s="17"/>
    </row>
    <row r="46" spans="1:25" ht="13.5" customHeight="1">
      <c r="A46" s="12">
        <v>44</v>
      </c>
      <c r="B46" s="13" t="s">
        <v>53</v>
      </c>
      <c r="C46" s="13" t="s">
        <v>54</v>
      </c>
      <c r="D46" s="13" t="s">
        <v>388</v>
      </c>
      <c r="E46" s="13" t="s">
        <v>422</v>
      </c>
      <c r="F46" s="14" t="s">
        <v>425</v>
      </c>
      <c r="G46" s="14" t="s">
        <v>2107</v>
      </c>
      <c r="H46" s="17"/>
      <c r="I46" s="13" t="s">
        <v>2108</v>
      </c>
      <c r="J46" s="13" t="s">
        <v>424</v>
      </c>
      <c r="K46" s="13" t="s">
        <v>2109</v>
      </c>
      <c r="L46" s="13" t="s">
        <v>2002</v>
      </c>
      <c r="M46" s="14" t="s">
        <v>2110</v>
      </c>
      <c r="N46" s="17"/>
      <c r="O46" s="17"/>
      <c r="P46" s="16" t="s">
        <v>2004</v>
      </c>
      <c r="Q46" s="16" t="s">
        <v>2004</v>
      </c>
      <c r="R46" s="14" t="s">
        <v>2111</v>
      </c>
      <c r="S46" s="17"/>
      <c r="T46" s="17"/>
      <c r="U46" s="16" t="s">
        <v>2006</v>
      </c>
      <c r="V46" s="17"/>
      <c r="W46" s="17"/>
      <c r="X46" s="17"/>
      <c r="Y46" s="17"/>
    </row>
    <row r="47" spans="1:25" ht="13.5" customHeight="1">
      <c r="A47" s="12">
        <v>45</v>
      </c>
      <c r="B47" s="13" t="s">
        <v>53</v>
      </c>
      <c r="C47" s="13" t="s">
        <v>54</v>
      </c>
      <c r="D47" s="13" t="s">
        <v>388</v>
      </c>
      <c r="E47" s="13" t="s">
        <v>422</v>
      </c>
      <c r="F47" s="14" t="s">
        <v>425</v>
      </c>
      <c r="G47" s="14" t="s">
        <v>2107</v>
      </c>
      <c r="H47" s="17"/>
      <c r="I47" s="13" t="s">
        <v>2112</v>
      </c>
      <c r="J47" s="13" t="s">
        <v>432</v>
      </c>
      <c r="K47" s="13" t="s">
        <v>2113</v>
      </c>
      <c r="L47" s="13" t="s">
        <v>2002</v>
      </c>
      <c r="M47" s="14" t="s">
        <v>2110</v>
      </c>
      <c r="N47" s="17"/>
      <c r="O47" s="17"/>
      <c r="P47" s="16" t="s">
        <v>2004</v>
      </c>
      <c r="Q47" s="16" t="s">
        <v>2004</v>
      </c>
      <c r="R47" s="14" t="s">
        <v>2111</v>
      </c>
      <c r="S47" s="17"/>
      <c r="T47" s="17"/>
      <c r="U47" s="16" t="s">
        <v>2006</v>
      </c>
      <c r="V47" s="17"/>
      <c r="W47" s="17"/>
      <c r="X47" s="17"/>
      <c r="Y47" s="17"/>
    </row>
    <row r="48" spans="1:25" ht="13.5" customHeight="1">
      <c r="A48" s="12">
        <v>46</v>
      </c>
      <c r="B48" s="13" t="s">
        <v>53</v>
      </c>
      <c r="C48" s="13" t="s">
        <v>54</v>
      </c>
      <c r="D48" s="13" t="s">
        <v>388</v>
      </c>
      <c r="E48" s="13" t="s">
        <v>422</v>
      </c>
      <c r="F48" s="14"/>
      <c r="G48" s="14"/>
      <c r="H48" s="17"/>
      <c r="I48" s="13" t="s">
        <v>2114</v>
      </c>
      <c r="J48" s="13" t="s">
        <v>436</v>
      </c>
      <c r="K48" s="13" t="s">
        <v>2115</v>
      </c>
      <c r="L48" s="13" t="s">
        <v>2116</v>
      </c>
      <c r="M48" s="14"/>
      <c r="N48" s="17"/>
      <c r="O48" s="17"/>
      <c r="P48" s="16" t="s">
        <v>2004</v>
      </c>
      <c r="Q48" s="16" t="s">
        <v>2004</v>
      </c>
      <c r="R48" s="14" t="s">
        <v>440</v>
      </c>
      <c r="S48" s="17"/>
      <c r="T48" s="17"/>
      <c r="U48" s="16" t="s">
        <v>2006</v>
      </c>
      <c r="V48" s="17"/>
      <c r="W48" s="17"/>
      <c r="X48" s="17"/>
      <c r="Y48" s="17"/>
    </row>
    <row r="49" spans="1:25" ht="13.5" customHeight="1">
      <c r="A49" s="12">
        <v>47</v>
      </c>
      <c r="B49" s="13" t="s">
        <v>53</v>
      </c>
      <c r="C49" s="13" t="s">
        <v>54</v>
      </c>
      <c r="D49" s="13" t="s">
        <v>388</v>
      </c>
      <c r="E49" s="13" t="s">
        <v>422</v>
      </c>
      <c r="F49" s="14"/>
      <c r="G49" s="14"/>
      <c r="H49" s="17"/>
      <c r="I49" s="13" t="s">
        <v>2117</v>
      </c>
      <c r="J49" s="13" t="s">
        <v>443</v>
      </c>
      <c r="K49" s="13" t="s">
        <v>2118</v>
      </c>
      <c r="L49" s="13" t="s">
        <v>2116</v>
      </c>
      <c r="M49" s="14"/>
      <c r="N49" s="17"/>
      <c r="O49" s="17"/>
      <c r="P49" s="16" t="s">
        <v>2004</v>
      </c>
      <c r="Q49" s="16" t="s">
        <v>2004</v>
      </c>
      <c r="R49" s="14" t="s">
        <v>440</v>
      </c>
      <c r="S49" s="17"/>
      <c r="T49" s="17"/>
      <c r="U49" s="16" t="s">
        <v>2006</v>
      </c>
      <c r="V49" s="17"/>
      <c r="W49" s="17"/>
      <c r="X49" s="17"/>
      <c r="Y49" s="17"/>
    </row>
    <row r="50" spans="1:25" ht="13.5" customHeight="1">
      <c r="A50" s="12">
        <v>48</v>
      </c>
      <c r="B50" s="13" t="s">
        <v>53</v>
      </c>
      <c r="C50" s="13" t="s">
        <v>54</v>
      </c>
      <c r="D50" s="13" t="s">
        <v>388</v>
      </c>
      <c r="E50" s="13" t="s">
        <v>422</v>
      </c>
      <c r="F50" s="14"/>
      <c r="G50" s="14"/>
      <c r="H50" s="17"/>
      <c r="I50" s="13" t="s">
        <v>2119</v>
      </c>
      <c r="J50" s="13" t="s">
        <v>449</v>
      </c>
      <c r="K50" s="13" t="s">
        <v>2120</v>
      </c>
      <c r="L50" s="13" t="s">
        <v>2116</v>
      </c>
      <c r="M50" s="14"/>
      <c r="N50" s="17"/>
      <c r="O50" s="17"/>
      <c r="P50" s="16" t="s">
        <v>2004</v>
      </c>
      <c r="Q50" s="16" t="s">
        <v>2004</v>
      </c>
      <c r="R50" s="14" t="s">
        <v>440</v>
      </c>
      <c r="S50" s="17"/>
      <c r="T50" s="17"/>
      <c r="U50" s="16" t="s">
        <v>2006</v>
      </c>
      <c r="V50" s="17"/>
      <c r="W50" s="17"/>
      <c r="X50" s="17"/>
      <c r="Y50" s="17"/>
    </row>
    <row r="51" spans="1:25" ht="13.5" customHeight="1">
      <c r="A51" s="12">
        <v>49</v>
      </c>
      <c r="B51" s="13" t="s">
        <v>53</v>
      </c>
      <c r="C51" s="13" t="s">
        <v>54</v>
      </c>
      <c r="D51" s="13" t="s">
        <v>388</v>
      </c>
      <c r="E51" s="13" t="s">
        <v>422</v>
      </c>
      <c r="F51" s="14"/>
      <c r="G51" s="14"/>
      <c r="H51" s="17"/>
      <c r="I51" s="13" t="s">
        <v>2121</v>
      </c>
      <c r="J51" s="13" t="s">
        <v>455</v>
      </c>
      <c r="K51" s="13" t="s">
        <v>2122</v>
      </c>
      <c r="L51" s="13" t="s">
        <v>2116</v>
      </c>
      <c r="M51" s="14"/>
      <c r="N51" s="17"/>
      <c r="O51" s="17"/>
      <c r="P51" s="16" t="s">
        <v>2004</v>
      </c>
      <c r="Q51" s="16" t="s">
        <v>2004</v>
      </c>
      <c r="R51" s="14" t="s">
        <v>440</v>
      </c>
      <c r="S51" s="17"/>
      <c r="T51" s="17"/>
      <c r="U51" s="16" t="s">
        <v>2006</v>
      </c>
      <c r="V51" s="17"/>
      <c r="W51" s="17"/>
      <c r="X51" s="17"/>
      <c r="Y51" s="17"/>
    </row>
    <row r="52" spans="1:25" ht="13.5" customHeight="1">
      <c r="A52" s="12">
        <v>50</v>
      </c>
      <c r="B52" s="13" t="s">
        <v>53</v>
      </c>
      <c r="C52" s="13" t="s">
        <v>54</v>
      </c>
      <c r="D52" s="13" t="s">
        <v>388</v>
      </c>
      <c r="E52" s="13" t="s">
        <v>422</v>
      </c>
      <c r="F52" s="14"/>
      <c r="G52" s="14"/>
      <c r="H52" s="17"/>
      <c r="I52" s="13" t="s">
        <v>2123</v>
      </c>
      <c r="J52" s="13" t="s">
        <v>461</v>
      </c>
      <c r="K52" s="13" t="s">
        <v>2124</v>
      </c>
      <c r="L52" s="13" t="s">
        <v>2116</v>
      </c>
      <c r="M52" s="14"/>
      <c r="N52" s="17"/>
      <c r="O52" s="17"/>
      <c r="P52" s="16" t="s">
        <v>2004</v>
      </c>
      <c r="Q52" s="16" t="s">
        <v>2004</v>
      </c>
      <c r="R52" s="14" t="s">
        <v>440</v>
      </c>
      <c r="S52" s="17"/>
      <c r="T52" s="17"/>
      <c r="U52" s="16" t="s">
        <v>2006</v>
      </c>
      <c r="V52" s="17"/>
      <c r="W52" s="17"/>
      <c r="X52" s="17"/>
      <c r="Y52" s="17"/>
    </row>
    <row r="53" spans="1:25" ht="13.5" customHeight="1">
      <c r="A53" s="12">
        <v>51</v>
      </c>
      <c r="B53" s="13" t="s">
        <v>53</v>
      </c>
      <c r="C53" s="13" t="s">
        <v>54</v>
      </c>
      <c r="D53" s="13" t="s">
        <v>388</v>
      </c>
      <c r="E53" s="13" t="s">
        <v>422</v>
      </c>
      <c r="F53" s="14"/>
      <c r="G53" s="14"/>
      <c r="H53" s="17"/>
      <c r="I53" s="13" t="s">
        <v>2125</v>
      </c>
      <c r="J53" s="13" t="s">
        <v>467</v>
      </c>
      <c r="K53" s="13" t="s">
        <v>2126</v>
      </c>
      <c r="L53" s="13" t="s">
        <v>2116</v>
      </c>
      <c r="M53" s="14"/>
      <c r="N53" s="17"/>
      <c r="O53" s="17"/>
      <c r="P53" s="16" t="s">
        <v>2004</v>
      </c>
      <c r="Q53" s="16" t="s">
        <v>2004</v>
      </c>
      <c r="R53" s="14" t="s">
        <v>440</v>
      </c>
      <c r="S53" s="17"/>
      <c r="T53" s="17"/>
      <c r="U53" s="16" t="s">
        <v>2006</v>
      </c>
      <c r="V53" s="17"/>
      <c r="W53" s="17"/>
      <c r="X53" s="17"/>
      <c r="Y53" s="17"/>
    </row>
    <row r="54" spans="1:25" ht="13.5" customHeight="1">
      <c r="A54" s="12">
        <v>52</v>
      </c>
      <c r="B54" s="13" t="s">
        <v>53</v>
      </c>
      <c r="C54" s="13" t="s">
        <v>54</v>
      </c>
      <c r="D54" s="13" t="s">
        <v>388</v>
      </c>
      <c r="E54" s="13" t="s">
        <v>422</v>
      </c>
      <c r="F54" s="14"/>
      <c r="G54" s="14"/>
      <c r="H54" s="17"/>
      <c r="I54" s="13" t="s">
        <v>2127</v>
      </c>
      <c r="J54" s="13" t="s">
        <v>473</v>
      </c>
      <c r="K54" s="13" t="s">
        <v>2128</v>
      </c>
      <c r="L54" s="13" t="s">
        <v>2116</v>
      </c>
      <c r="M54" s="14"/>
      <c r="N54" s="17"/>
      <c r="O54" s="17"/>
      <c r="P54" s="16" t="s">
        <v>2004</v>
      </c>
      <c r="Q54" s="16" t="s">
        <v>2004</v>
      </c>
      <c r="R54" s="14" t="s">
        <v>440</v>
      </c>
      <c r="S54" s="17"/>
      <c r="T54" s="17"/>
      <c r="U54" s="16" t="s">
        <v>2006</v>
      </c>
      <c r="V54" s="17"/>
      <c r="W54" s="17"/>
      <c r="X54" s="17"/>
      <c r="Y54" s="17"/>
    </row>
    <row r="55" spans="1:25" ht="13.5" customHeight="1">
      <c r="A55" s="12">
        <v>53</v>
      </c>
      <c r="B55" s="13" t="s">
        <v>53</v>
      </c>
      <c r="C55" s="13" t="s">
        <v>54</v>
      </c>
      <c r="D55" s="13" t="s">
        <v>388</v>
      </c>
      <c r="E55" s="13" t="s">
        <v>478</v>
      </c>
      <c r="F55" s="14" t="s">
        <v>481</v>
      </c>
      <c r="G55" s="14" t="s">
        <v>482</v>
      </c>
      <c r="H55" s="17"/>
      <c r="I55" s="13" t="s">
        <v>2129</v>
      </c>
      <c r="J55" s="13" t="s">
        <v>480</v>
      </c>
      <c r="K55" s="13" t="s">
        <v>2130</v>
      </c>
      <c r="L55" s="13" t="s">
        <v>2002</v>
      </c>
      <c r="M55" s="14" t="s">
        <v>2131</v>
      </c>
      <c r="N55" s="17"/>
      <c r="O55" s="17"/>
      <c r="P55" s="16" t="s">
        <v>2004</v>
      </c>
      <c r="Q55" s="16" t="s">
        <v>2004</v>
      </c>
      <c r="R55" s="14" t="s">
        <v>2132</v>
      </c>
      <c r="S55" s="17"/>
      <c r="T55" s="17"/>
      <c r="U55" s="16" t="s">
        <v>2006</v>
      </c>
      <c r="V55" s="17"/>
      <c r="W55" s="17"/>
      <c r="X55" s="17"/>
      <c r="Y55" s="17"/>
    </row>
    <row r="56" spans="1:25" ht="13.5" customHeight="1">
      <c r="A56" s="12">
        <v>54</v>
      </c>
      <c r="B56" s="13" t="s">
        <v>53</v>
      </c>
      <c r="C56" s="13" t="s">
        <v>54</v>
      </c>
      <c r="D56" s="13" t="s">
        <v>388</v>
      </c>
      <c r="E56" s="13" t="s">
        <v>478</v>
      </c>
      <c r="F56" s="14" t="s">
        <v>481</v>
      </c>
      <c r="G56" s="14" t="s">
        <v>482</v>
      </c>
      <c r="H56" s="17"/>
      <c r="I56" s="13" t="s">
        <v>2133</v>
      </c>
      <c r="J56" s="13" t="s">
        <v>488</v>
      </c>
      <c r="K56" s="13" t="s">
        <v>2134</v>
      </c>
      <c r="L56" s="13" t="s">
        <v>2002</v>
      </c>
      <c r="M56" s="14" t="s">
        <v>2131</v>
      </c>
      <c r="N56" s="17"/>
      <c r="O56" s="17"/>
      <c r="P56" s="16" t="s">
        <v>2004</v>
      </c>
      <c r="Q56" s="16" t="s">
        <v>2004</v>
      </c>
      <c r="R56" s="14" t="s">
        <v>2132</v>
      </c>
      <c r="S56" s="17"/>
      <c r="T56" s="17"/>
      <c r="U56" s="16" t="s">
        <v>2006</v>
      </c>
      <c r="V56" s="17"/>
      <c r="W56" s="17"/>
      <c r="X56" s="17"/>
      <c r="Y56" s="17"/>
    </row>
    <row r="57" spans="1:25" ht="13.5" customHeight="1">
      <c r="A57" s="12">
        <v>55</v>
      </c>
      <c r="B57" s="13" t="s">
        <v>53</v>
      </c>
      <c r="C57" s="13" t="s">
        <v>54</v>
      </c>
      <c r="D57" s="13" t="s">
        <v>388</v>
      </c>
      <c r="E57" s="13" t="s">
        <v>478</v>
      </c>
      <c r="F57" s="14" t="s">
        <v>481</v>
      </c>
      <c r="G57" s="14" t="s">
        <v>482</v>
      </c>
      <c r="H57" s="17"/>
      <c r="I57" s="13" t="s">
        <v>2135</v>
      </c>
      <c r="J57" s="13" t="s">
        <v>492</v>
      </c>
      <c r="K57" s="13" t="s">
        <v>2136</v>
      </c>
      <c r="L57" s="13" t="s">
        <v>2002</v>
      </c>
      <c r="M57" s="14" t="s">
        <v>2131</v>
      </c>
      <c r="N57" s="17"/>
      <c r="O57" s="17"/>
      <c r="P57" s="16" t="s">
        <v>2004</v>
      </c>
      <c r="Q57" s="16" t="s">
        <v>2004</v>
      </c>
      <c r="R57" s="14" t="s">
        <v>2132</v>
      </c>
      <c r="S57" s="17"/>
      <c r="T57" s="17"/>
      <c r="U57" s="16" t="s">
        <v>2006</v>
      </c>
      <c r="V57" s="17"/>
      <c r="W57" s="17"/>
      <c r="X57" s="17"/>
      <c r="Y57" s="17"/>
    </row>
    <row r="58" spans="1:25" ht="13.5" customHeight="1">
      <c r="A58" s="12">
        <v>56</v>
      </c>
      <c r="B58" s="13" t="s">
        <v>53</v>
      </c>
      <c r="C58" s="13" t="s">
        <v>54</v>
      </c>
      <c r="D58" s="13" t="s">
        <v>388</v>
      </c>
      <c r="E58" s="13" t="s">
        <v>478</v>
      </c>
      <c r="F58" s="14" t="s">
        <v>481</v>
      </c>
      <c r="G58" s="14" t="s">
        <v>482</v>
      </c>
      <c r="H58" s="17"/>
      <c r="I58" s="13" t="s">
        <v>2137</v>
      </c>
      <c r="J58" s="13" t="s">
        <v>496</v>
      </c>
      <c r="K58" s="13" t="s">
        <v>2138</v>
      </c>
      <c r="L58" s="13" t="s">
        <v>2002</v>
      </c>
      <c r="M58" s="14" t="s">
        <v>2131</v>
      </c>
      <c r="N58" s="17"/>
      <c r="O58" s="17"/>
      <c r="P58" s="16" t="s">
        <v>2004</v>
      </c>
      <c r="Q58" s="16" t="s">
        <v>2004</v>
      </c>
      <c r="R58" s="14" t="s">
        <v>2132</v>
      </c>
      <c r="S58" s="17"/>
      <c r="T58" s="17"/>
      <c r="U58" s="16" t="s">
        <v>2006</v>
      </c>
      <c r="V58" s="17"/>
      <c r="W58" s="17"/>
      <c r="X58" s="17"/>
      <c r="Y58" s="17"/>
    </row>
    <row r="59" spans="1:25" ht="13.5" customHeight="1">
      <c r="A59" s="12">
        <v>57</v>
      </c>
      <c r="B59" s="13" t="s">
        <v>53</v>
      </c>
      <c r="C59" s="13" t="s">
        <v>54</v>
      </c>
      <c r="D59" s="13" t="s">
        <v>388</v>
      </c>
      <c r="E59" s="13" t="s">
        <v>499</v>
      </c>
      <c r="F59" s="14" t="s">
        <v>502</v>
      </c>
      <c r="G59" s="14" t="s">
        <v>2139</v>
      </c>
      <c r="H59" s="17"/>
      <c r="I59" s="13" t="s">
        <v>2140</v>
      </c>
      <c r="J59" s="13" t="s">
        <v>501</v>
      </c>
      <c r="K59" s="13" t="s">
        <v>2141</v>
      </c>
      <c r="L59" s="13" t="s">
        <v>2002</v>
      </c>
      <c r="M59" s="14" t="s">
        <v>2142</v>
      </c>
      <c r="N59" s="17"/>
      <c r="O59" s="17"/>
      <c r="P59" s="16" t="s">
        <v>2004</v>
      </c>
      <c r="Q59" s="16" t="s">
        <v>2004</v>
      </c>
      <c r="R59" s="14" t="s">
        <v>2143</v>
      </c>
      <c r="S59" s="17"/>
      <c r="T59" s="17"/>
      <c r="U59" s="16" t="s">
        <v>2006</v>
      </c>
      <c r="V59" s="17"/>
      <c r="W59" s="17"/>
      <c r="X59" s="17"/>
      <c r="Y59" s="17"/>
    </row>
    <row r="60" spans="1:25" ht="13.5" customHeight="1">
      <c r="A60" s="12">
        <v>58</v>
      </c>
      <c r="B60" s="13" t="s">
        <v>53</v>
      </c>
      <c r="C60" s="13" t="s">
        <v>54</v>
      </c>
      <c r="D60" s="13" t="s">
        <v>388</v>
      </c>
      <c r="E60" s="13" t="s">
        <v>508</v>
      </c>
      <c r="F60" s="14" t="s">
        <v>511</v>
      </c>
      <c r="G60" s="14" t="s">
        <v>2144</v>
      </c>
      <c r="H60" s="17"/>
      <c r="I60" s="13" t="s">
        <v>2145</v>
      </c>
      <c r="J60" s="13" t="s">
        <v>510</v>
      </c>
      <c r="K60" s="13" t="s">
        <v>2146</v>
      </c>
      <c r="L60" s="13" t="s">
        <v>2002</v>
      </c>
      <c r="M60" s="14" t="s">
        <v>2147</v>
      </c>
      <c r="N60" s="17"/>
      <c r="O60" s="17"/>
      <c r="P60" s="16" t="s">
        <v>2004</v>
      </c>
      <c r="Q60" s="16" t="s">
        <v>2004</v>
      </c>
      <c r="R60" s="14" t="s">
        <v>2148</v>
      </c>
      <c r="S60" s="17"/>
      <c r="T60" s="17"/>
      <c r="U60" s="16" t="s">
        <v>2006</v>
      </c>
      <c r="V60" s="17"/>
      <c r="W60" s="17"/>
      <c r="X60" s="17"/>
      <c r="Y60" s="17"/>
    </row>
    <row r="61" spans="1:25" ht="13.5" customHeight="1">
      <c r="A61" s="12">
        <v>59</v>
      </c>
      <c r="B61" s="13" t="s">
        <v>53</v>
      </c>
      <c r="C61" s="13" t="s">
        <v>54</v>
      </c>
      <c r="D61" s="13" t="s">
        <v>388</v>
      </c>
      <c r="E61" s="13" t="s">
        <v>508</v>
      </c>
      <c r="F61" s="14" t="s">
        <v>511</v>
      </c>
      <c r="G61" s="14" t="s">
        <v>2144</v>
      </c>
      <c r="H61" s="17"/>
      <c r="I61" s="13" t="s">
        <v>2149</v>
      </c>
      <c r="J61" s="13" t="s">
        <v>518</v>
      </c>
      <c r="K61" s="13" t="s">
        <v>2150</v>
      </c>
      <c r="L61" s="13" t="s">
        <v>2002</v>
      </c>
      <c r="M61" s="14" t="s">
        <v>2147</v>
      </c>
      <c r="N61" s="17"/>
      <c r="O61" s="17"/>
      <c r="P61" s="16" t="s">
        <v>2004</v>
      </c>
      <c r="Q61" s="16" t="s">
        <v>2004</v>
      </c>
      <c r="R61" s="14" t="s">
        <v>2148</v>
      </c>
      <c r="S61" s="17"/>
      <c r="T61" s="17"/>
      <c r="U61" s="16" t="s">
        <v>2006</v>
      </c>
      <c r="V61" s="17"/>
      <c r="W61" s="17"/>
      <c r="X61" s="17"/>
      <c r="Y61" s="17"/>
    </row>
    <row r="62" spans="1:25" ht="13.5" customHeight="1">
      <c r="A62" s="12">
        <v>60</v>
      </c>
      <c r="B62" s="13" t="s">
        <v>53</v>
      </c>
      <c r="C62" s="13" t="s">
        <v>54</v>
      </c>
      <c r="D62" s="13" t="s">
        <v>388</v>
      </c>
      <c r="E62" s="13" t="s">
        <v>521</v>
      </c>
      <c r="F62" s="14" t="s">
        <v>524</v>
      </c>
      <c r="G62" s="14" t="s">
        <v>525</v>
      </c>
      <c r="H62" s="17"/>
      <c r="I62" s="13" t="s">
        <v>2151</v>
      </c>
      <c r="J62" s="13" t="s">
        <v>523</v>
      </c>
      <c r="K62" s="13" t="s">
        <v>2152</v>
      </c>
      <c r="L62" s="13" t="s">
        <v>2002</v>
      </c>
      <c r="M62" s="14" t="s">
        <v>2153</v>
      </c>
      <c r="N62" s="17"/>
      <c r="O62" s="17"/>
      <c r="P62" s="16" t="s">
        <v>2004</v>
      </c>
      <c r="Q62" s="16" t="s">
        <v>2004</v>
      </c>
      <c r="R62" s="14" t="s">
        <v>2154</v>
      </c>
      <c r="S62" s="17"/>
      <c r="T62" s="17"/>
      <c r="U62" s="16" t="s">
        <v>2006</v>
      </c>
      <c r="V62" s="17"/>
      <c r="W62" s="17"/>
      <c r="X62" s="17"/>
      <c r="Y62" s="17"/>
    </row>
    <row r="63" spans="1:25" ht="13.5" customHeight="1">
      <c r="A63" s="12">
        <v>61</v>
      </c>
      <c r="B63" s="13" t="s">
        <v>53</v>
      </c>
      <c r="C63" s="13" t="s">
        <v>54</v>
      </c>
      <c r="D63" s="13" t="s">
        <v>388</v>
      </c>
      <c r="E63" s="13" t="s">
        <v>521</v>
      </c>
      <c r="F63" s="14" t="s">
        <v>524</v>
      </c>
      <c r="G63" s="14" t="s">
        <v>525</v>
      </c>
      <c r="H63" s="17"/>
      <c r="I63" s="13" t="s">
        <v>2155</v>
      </c>
      <c r="J63" s="13" t="s">
        <v>531</v>
      </c>
      <c r="K63" s="13" t="s">
        <v>2156</v>
      </c>
      <c r="L63" s="13" t="s">
        <v>2002</v>
      </c>
      <c r="M63" s="14" t="s">
        <v>2153</v>
      </c>
      <c r="N63" s="17"/>
      <c r="O63" s="17"/>
      <c r="P63" s="16" t="s">
        <v>2004</v>
      </c>
      <c r="Q63" s="16" t="s">
        <v>2004</v>
      </c>
      <c r="R63" s="14" t="s">
        <v>2154</v>
      </c>
      <c r="S63" s="17"/>
      <c r="T63" s="17"/>
      <c r="U63" s="16" t="s">
        <v>2006</v>
      </c>
      <c r="V63" s="17"/>
      <c r="W63" s="17"/>
      <c r="X63" s="17"/>
      <c r="Y63" s="17"/>
    </row>
    <row r="64" spans="1:25" ht="13.5" customHeight="1">
      <c r="A64" s="12">
        <v>62</v>
      </c>
      <c r="B64" s="13" t="s">
        <v>53</v>
      </c>
      <c r="C64" s="13" t="s">
        <v>54</v>
      </c>
      <c r="D64" s="13" t="s">
        <v>388</v>
      </c>
      <c r="E64" s="13" t="s">
        <v>534</v>
      </c>
      <c r="F64" s="14" t="s">
        <v>537</v>
      </c>
      <c r="G64" s="14" t="s">
        <v>538</v>
      </c>
      <c r="H64" s="17"/>
      <c r="I64" s="13" t="s">
        <v>2157</v>
      </c>
      <c r="J64" s="13" t="s">
        <v>536</v>
      </c>
      <c r="K64" s="13" t="s">
        <v>2158</v>
      </c>
      <c r="L64" s="13" t="s">
        <v>2002</v>
      </c>
      <c r="M64" s="14" t="s">
        <v>2159</v>
      </c>
      <c r="N64" s="17"/>
      <c r="O64" s="17"/>
      <c r="P64" s="16" t="s">
        <v>2004</v>
      </c>
      <c r="Q64" s="16" t="s">
        <v>2004</v>
      </c>
      <c r="R64" s="14" t="s">
        <v>2160</v>
      </c>
      <c r="S64" s="17"/>
      <c r="T64" s="17"/>
      <c r="U64" s="16" t="s">
        <v>2006</v>
      </c>
      <c r="V64" s="17"/>
      <c r="W64" s="17"/>
      <c r="X64" s="17"/>
      <c r="Y64" s="17"/>
    </row>
    <row r="65" spans="1:25" ht="13.5" customHeight="1">
      <c r="A65" s="12">
        <v>63</v>
      </c>
      <c r="B65" s="13" t="s">
        <v>53</v>
      </c>
      <c r="C65" s="13" t="s">
        <v>54</v>
      </c>
      <c r="D65" s="13" t="s">
        <v>543</v>
      </c>
      <c r="E65" s="13" t="s">
        <v>544</v>
      </c>
      <c r="F65" s="14" t="s">
        <v>547</v>
      </c>
      <c r="G65" s="14" t="s">
        <v>2161</v>
      </c>
      <c r="H65" s="17"/>
      <c r="I65" s="13" t="s">
        <v>2162</v>
      </c>
      <c r="J65" s="13" t="s">
        <v>546</v>
      </c>
      <c r="K65" s="13" t="s">
        <v>2163</v>
      </c>
      <c r="L65" s="13" t="s">
        <v>2002</v>
      </c>
      <c r="M65" s="14" t="s">
        <v>2164</v>
      </c>
      <c r="N65" s="16" t="s">
        <v>2004</v>
      </c>
      <c r="O65" s="16" t="s">
        <v>2004</v>
      </c>
      <c r="P65" s="17"/>
      <c r="Q65" s="17"/>
      <c r="R65" s="14" t="s">
        <v>552</v>
      </c>
      <c r="S65" s="17"/>
      <c r="T65" s="17"/>
      <c r="U65" s="16" t="s">
        <v>2006</v>
      </c>
      <c r="V65" s="17"/>
      <c r="W65" s="17"/>
      <c r="X65" s="17"/>
      <c r="Y65" s="17"/>
    </row>
    <row r="66" spans="1:25" ht="13.5" customHeight="1">
      <c r="A66" s="12">
        <v>64</v>
      </c>
      <c r="B66" s="13" t="s">
        <v>87</v>
      </c>
      <c r="C66" s="13" t="s">
        <v>54</v>
      </c>
      <c r="D66" s="13" t="s">
        <v>543</v>
      </c>
      <c r="E66" s="13" t="s">
        <v>544</v>
      </c>
      <c r="F66" s="14" t="s">
        <v>569</v>
      </c>
      <c r="G66" s="14" t="s">
        <v>570</v>
      </c>
      <c r="H66" s="17"/>
      <c r="I66" s="13" t="s">
        <v>2162</v>
      </c>
      <c r="J66" s="13" t="s">
        <v>568</v>
      </c>
      <c r="K66" s="13" t="s">
        <v>2165</v>
      </c>
      <c r="L66" s="13" t="s">
        <v>2002</v>
      </c>
      <c r="M66" s="14" t="s">
        <v>2166</v>
      </c>
      <c r="N66" s="16"/>
      <c r="O66" s="16"/>
      <c r="P66" s="17"/>
      <c r="Q66" s="17"/>
      <c r="R66" s="14"/>
      <c r="S66" s="17"/>
      <c r="T66" s="17"/>
      <c r="U66" s="16" t="s">
        <v>2006</v>
      </c>
      <c r="V66" s="17"/>
      <c r="W66" s="17"/>
      <c r="X66" s="17"/>
      <c r="Y66" s="17"/>
    </row>
    <row r="67" spans="1:25" ht="13.5" customHeight="1">
      <c r="A67" s="12">
        <v>65</v>
      </c>
      <c r="B67" s="13" t="s">
        <v>53</v>
      </c>
      <c r="C67" s="13" t="s">
        <v>54</v>
      </c>
      <c r="D67" s="13" t="s">
        <v>543</v>
      </c>
      <c r="E67" s="13" t="s">
        <v>544</v>
      </c>
      <c r="F67" s="14" t="s">
        <v>547</v>
      </c>
      <c r="G67" s="14" t="s">
        <v>2161</v>
      </c>
      <c r="H67" s="17"/>
      <c r="I67" s="13" t="s">
        <v>2167</v>
      </c>
      <c r="J67" s="13" t="s">
        <v>582</v>
      </c>
      <c r="K67" s="13" t="s">
        <v>2168</v>
      </c>
      <c r="L67" s="13" t="s">
        <v>2002</v>
      </c>
      <c r="M67" s="14" t="s">
        <v>2164</v>
      </c>
      <c r="N67" s="17"/>
      <c r="O67" s="17"/>
      <c r="P67" s="16" t="s">
        <v>2004</v>
      </c>
      <c r="Q67" s="16" t="s">
        <v>2004</v>
      </c>
      <c r="R67" s="14" t="s">
        <v>2169</v>
      </c>
      <c r="S67" s="17"/>
      <c r="T67" s="17"/>
      <c r="U67" s="16" t="s">
        <v>2006</v>
      </c>
      <c r="V67" s="17"/>
      <c r="W67" s="17"/>
      <c r="X67" s="17"/>
      <c r="Y67" s="17"/>
    </row>
    <row r="68" spans="1:25" ht="13.5" customHeight="1">
      <c r="A68" s="12">
        <v>66</v>
      </c>
      <c r="B68" s="13" t="s">
        <v>53</v>
      </c>
      <c r="C68" s="13" t="s">
        <v>54</v>
      </c>
      <c r="D68" s="13" t="s">
        <v>543</v>
      </c>
      <c r="E68" s="13" t="s">
        <v>544</v>
      </c>
      <c r="F68" s="14" t="s">
        <v>547</v>
      </c>
      <c r="G68" s="14" t="s">
        <v>2161</v>
      </c>
      <c r="H68" s="17"/>
      <c r="I68" s="13" t="s">
        <v>2170</v>
      </c>
      <c r="J68" s="13" t="s">
        <v>587</v>
      </c>
      <c r="K68" s="13" t="s">
        <v>2171</v>
      </c>
      <c r="L68" s="13" t="s">
        <v>2002</v>
      </c>
      <c r="M68" s="14" t="s">
        <v>2164</v>
      </c>
      <c r="N68" s="17"/>
      <c r="O68" s="17"/>
      <c r="P68" s="16" t="s">
        <v>2004</v>
      </c>
      <c r="Q68" s="16" t="s">
        <v>2004</v>
      </c>
      <c r="R68" s="14" t="s">
        <v>2169</v>
      </c>
      <c r="S68" s="17"/>
      <c r="T68" s="17"/>
      <c r="U68" s="16" t="s">
        <v>2006</v>
      </c>
      <c r="V68" s="17"/>
      <c r="W68" s="17"/>
      <c r="X68" s="17"/>
      <c r="Y68" s="17"/>
    </row>
    <row r="69" spans="1:25" ht="13.5" customHeight="1">
      <c r="A69" s="12">
        <v>67</v>
      </c>
      <c r="B69" s="13" t="s">
        <v>53</v>
      </c>
      <c r="C69" s="13" t="s">
        <v>54</v>
      </c>
      <c r="D69" s="13" t="s">
        <v>543</v>
      </c>
      <c r="E69" s="13" t="s">
        <v>544</v>
      </c>
      <c r="F69" s="14" t="s">
        <v>547</v>
      </c>
      <c r="G69" s="14" t="s">
        <v>2161</v>
      </c>
      <c r="H69" s="17"/>
      <c r="I69" s="13" t="s">
        <v>2172</v>
      </c>
      <c r="J69" s="13" t="s">
        <v>591</v>
      </c>
      <c r="K69" s="13" t="s">
        <v>2173</v>
      </c>
      <c r="L69" s="13" t="s">
        <v>2002</v>
      </c>
      <c r="M69" s="14" t="s">
        <v>2164</v>
      </c>
      <c r="N69" s="17"/>
      <c r="O69" s="17"/>
      <c r="P69" s="16" t="s">
        <v>2004</v>
      </c>
      <c r="Q69" s="16" t="s">
        <v>2004</v>
      </c>
      <c r="R69" s="14" t="s">
        <v>2169</v>
      </c>
      <c r="S69" s="17"/>
      <c r="T69" s="17"/>
      <c r="U69" s="16" t="s">
        <v>2006</v>
      </c>
      <c r="V69" s="17"/>
      <c r="W69" s="17"/>
      <c r="X69" s="17"/>
      <c r="Y69" s="17"/>
    </row>
    <row r="70" spans="1:25" ht="13.5" customHeight="1">
      <c r="A70" s="12">
        <v>68</v>
      </c>
      <c r="B70" s="13" t="s">
        <v>53</v>
      </c>
      <c r="C70" s="13" t="s">
        <v>54</v>
      </c>
      <c r="D70" s="13" t="s">
        <v>543</v>
      </c>
      <c r="E70" s="13" t="s">
        <v>544</v>
      </c>
      <c r="F70" s="14" t="s">
        <v>547</v>
      </c>
      <c r="G70" s="14" t="s">
        <v>2161</v>
      </c>
      <c r="H70" s="17"/>
      <c r="I70" s="13" t="s">
        <v>2174</v>
      </c>
      <c r="J70" s="13" t="s">
        <v>595</v>
      </c>
      <c r="K70" s="13" t="s">
        <v>2175</v>
      </c>
      <c r="L70" s="13" t="s">
        <v>2002</v>
      </c>
      <c r="M70" s="14" t="s">
        <v>2164</v>
      </c>
      <c r="N70" s="17"/>
      <c r="O70" s="17"/>
      <c r="P70" s="16" t="s">
        <v>2004</v>
      </c>
      <c r="Q70" s="16" t="s">
        <v>2004</v>
      </c>
      <c r="R70" s="14" t="s">
        <v>2169</v>
      </c>
      <c r="S70" s="17"/>
      <c r="T70" s="17"/>
      <c r="U70" s="16" t="s">
        <v>2006</v>
      </c>
      <c r="V70" s="17"/>
      <c r="W70" s="17"/>
      <c r="X70" s="17"/>
      <c r="Y70" s="17"/>
    </row>
    <row r="71" spans="1:25" ht="13.5" customHeight="1">
      <c r="A71" s="12">
        <v>69</v>
      </c>
      <c r="B71" s="13" t="s">
        <v>53</v>
      </c>
      <c r="C71" s="13" t="s">
        <v>54</v>
      </c>
      <c r="D71" s="13" t="s">
        <v>543</v>
      </c>
      <c r="E71" s="13" t="s">
        <v>598</v>
      </c>
      <c r="F71" s="14" t="s">
        <v>601</v>
      </c>
      <c r="G71" s="14" t="s">
        <v>602</v>
      </c>
      <c r="H71" s="17"/>
      <c r="I71" s="13" t="s">
        <v>2176</v>
      </c>
      <c r="J71" s="13" t="s">
        <v>600</v>
      </c>
      <c r="K71" s="13" t="s">
        <v>2177</v>
      </c>
      <c r="L71" s="13" t="s">
        <v>2002</v>
      </c>
      <c r="M71" s="14" t="s">
        <v>2178</v>
      </c>
      <c r="N71" s="17"/>
      <c r="O71" s="17"/>
      <c r="P71" s="16" t="s">
        <v>2004</v>
      </c>
      <c r="Q71" s="16" t="s">
        <v>2004</v>
      </c>
      <c r="R71" s="14" t="s">
        <v>2179</v>
      </c>
      <c r="S71" s="17"/>
      <c r="T71" s="17"/>
      <c r="U71" s="16" t="s">
        <v>2006</v>
      </c>
      <c r="V71" s="17"/>
      <c r="W71" s="17"/>
      <c r="X71" s="17"/>
      <c r="Y71" s="17"/>
    </row>
    <row r="72" spans="1:25" ht="13.5" customHeight="1">
      <c r="A72" s="12">
        <v>70</v>
      </c>
      <c r="B72" s="13" t="s">
        <v>53</v>
      </c>
      <c r="C72" s="13" t="s">
        <v>54</v>
      </c>
      <c r="D72" s="13" t="s">
        <v>543</v>
      </c>
      <c r="E72" s="13" t="s">
        <v>598</v>
      </c>
      <c r="F72" s="14" t="s">
        <v>601</v>
      </c>
      <c r="G72" s="14" t="s">
        <v>602</v>
      </c>
      <c r="H72" s="17"/>
      <c r="I72" s="13" t="s">
        <v>2180</v>
      </c>
      <c r="J72" s="13" t="s">
        <v>620</v>
      </c>
      <c r="K72" s="13" t="s">
        <v>2181</v>
      </c>
      <c r="L72" s="13" t="s">
        <v>2002</v>
      </c>
      <c r="M72" s="14" t="s">
        <v>2178</v>
      </c>
      <c r="N72" s="17"/>
      <c r="O72" s="17"/>
      <c r="P72" s="16" t="s">
        <v>2004</v>
      </c>
      <c r="Q72" s="16" t="s">
        <v>2004</v>
      </c>
      <c r="R72" s="14" t="s">
        <v>2179</v>
      </c>
      <c r="S72" s="17"/>
      <c r="T72" s="17"/>
      <c r="U72" s="16" t="s">
        <v>2006</v>
      </c>
      <c r="V72" s="17"/>
      <c r="W72" s="17"/>
      <c r="X72" s="17"/>
      <c r="Y72" s="17"/>
    </row>
    <row r="73" spans="1:25" ht="13.5" customHeight="1">
      <c r="A73" s="12">
        <v>71</v>
      </c>
      <c r="B73" s="13" t="s">
        <v>53</v>
      </c>
      <c r="C73" s="13" t="s">
        <v>54</v>
      </c>
      <c r="D73" s="13" t="s">
        <v>543</v>
      </c>
      <c r="E73" s="13" t="s">
        <v>623</v>
      </c>
      <c r="F73" s="14" t="s">
        <v>626</v>
      </c>
      <c r="G73" s="14" t="s">
        <v>627</v>
      </c>
      <c r="H73" s="17"/>
      <c r="I73" s="13" t="s">
        <v>2182</v>
      </c>
      <c r="J73" s="13" t="s">
        <v>625</v>
      </c>
      <c r="K73" s="13" t="s">
        <v>2183</v>
      </c>
      <c r="L73" s="13" t="s">
        <v>2002</v>
      </c>
      <c r="M73" s="14" t="s">
        <v>2184</v>
      </c>
      <c r="N73" s="17"/>
      <c r="O73" s="17"/>
      <c r="P73" s="16" t="s">
        <v>2004</v>
      </c>
      <c r="Q73" s="16" t="s">
        <v>2004</v>
      </c>
      <c r="R73" s="14" t="s">
        <v>630</v>
      </c>
      <c r="S73" s="17"/>
      <c r="T73" s="17"/>
      <c r="U73" s="16" t="s">
        <v>2006</v>
      </c>
      <c r="V73" s="17"/>
      <c r="W73" s="17"/>
      <c r="X73" s="17"/>
      <c r="Y73" s="17"/>
    </row>
    <row r="74" spans="1:25" ht="13.5" customHeight="1">
      <c r="A74" s="12">
        <v>72</v>
      </c>
      <c r="B74" s="13" t="s">
        <v>87</v>
      </c>
      <c r="C74" s="13" t="s">
        <v>54</v>
      </c>
      <c r="D74" s="13" t="s">
        <v>543</v>
      </c>
      <c r="E74" s="13" t="s">
        <v>623</v>
      </c>
      <c r="F74" s="14" t="s">
        <v>646</v>
      </c>
      <c r="G74" s="14" t="s">
        <v>647</v>
      </c>
      <c r="H74" s="17"/>
      <c r="I74" s="13" t="s">
        <v>2182</v>
      </c>
      <c r="J74" s="13" t="s">
        <v>645</v>
      </c>
      <c r="K74" s="13" t="s">
        <v>2185</v>
      </c>
      <c r="L74" s="13"/>
      <c r="M74" s="14" t="s">
        <v>2186</v>
      </c>
      <c r="N74" s="17"/>
      <c r="O74" s="17"/>
      <c r="P74" s="16"/>
      <c r="Q74" s="16"/>
      <c r="R74" s="14"/>
      <c r="S74" s="17"/>
      <c r="T74" s="17"/>
      <c r="U74" s="16" t="s">
        <v>2006</v>
      </c>
      <c r="V74" s="17"/>
      <c r="W74" s="17"/>
      <c r="X74" s="17"/>
      <c r="Y74" s="17"/>
    </row>
    <row r="75" spans="1:25" ht="13.5" customHeight="1">
      <c r="A75" s="12">
        <v>73</v>
      </c>
      <c r="B75" s="13" t="s">
        <v>53</v>
      </c>
      <c r="C75" s="13" t="s">
        <v>54</v>
      </c>
      <c r="D75" s="13" t="s">
        <v>543</v>
      </c>
      <c r="E75" s="13" t="s">
        <v>623</v>
      </c>
      <c r="F75" s="14" t="s">
        <v>626</v>
      </c>
      <c r="G75" s="14" t="s">
        <v>627</v>
      </c>
      <c r="H75" s="17"/>
      <c r="I75" s="13" t="s">
        <v>2187</v>
      </c>
      <c r="J75" s="13" t="s">
        <v>658</v>
      </c>
      <c r="K75" s="13" t="s">
        <v>2188</v>
      </c>
      <c r="L75" s="13" t="s">
        <v>2002</v>
      </c>
      <c r="M75" s="14" t="s">
        <v>2184</v>
      </c>
      <c r="N75" s="16" t="s">
        <v>2004</v>
      </c>
      <c r="O75" s="16" t="s">
        <v>2004</v>
      </c>
      <c r="P75" s="17"/>
      <c r="Q75" s="17"/>
      <c r="R75" s="14" t="s">
        <v>630</v>
      </c>
      <c r="S75" s="17"/>
      <c r="T75" s="17"/>
      <c r="U75" s="16" t="s">
        <v>2006</v>
      </c>
      <c r="V75" s="17"/>
      <c r="W75" s="17"/>
      <c r="X75" s="17"/>
      <c r="Y75" s="17"/>
    </row>
    <row r="76" spans="1:25" ht="13.5" customHeight="1">
      <c r="A76" s="12">
        <v>74</v>
      </c>
      <c r="B76" s="13" t="s">
        <v>53</v>
      </c>
      <c r="C76" s="13" t="s">
        <v>54</v>
      </c>
      <c r="D76" s="13" t="s">
        <v>543</v>
      </c>
      <c r="E76" s="13" t="s">
        <v>623</v>
      </c>
      <c r="F76" s="14" t="s">
        <v>626</v>
      </c>
      <c r="G76" s="14" t="s">
        <v>627</v>
      </c>
      <c r="H76" s="17"/>
      <c r="I76" s="13" t="s">
        <v>2189</v>
      </c>
      <c r="J76" s="13" t="s">
        <v>662</v>
      </c>
      <c r="K76" s="13" t="s">
        <v>2190</v>
      </c>
      <c r="L76" s="13" t="s">
        <v>2002</v>
      </c>
      <c r="M76" s="14" t="s">
        <v>2184</v>
      </c>
      <c r="N76" s="17"/>
      <c r="O76" s="17"/>
      <c r="P76" s="16" t="s">
        <v>2004</v>
      </c>
      <c r="Q76" s="16" t="s">
        <v>2004</v>
      </c>
      <c r="R76" s="14" t="s">
        <v>630</v>
      </c>
      <c r="S76" s="17"/>
      <c r="T76" s="17"/>
      <c r="U76" s="16" t="s">
        <v>2006</v>
      </c>
      <c r="V76" s="17"/>
      <c r="W76" s="17"/>
      <c r="X76" s="17"/>
      <c r="Y76" s="17"/>
    </row>
    <row r="77" spans="1:25" ht="13.5" customHeight="1">
      <c r="A77" s="12">
        <v>75</v>
      </c>
      <c r="B77" s="13" t="s">
        <v>53</v>
      </c>
      <c r="C77" s="13" t="s">
        <v>54</v>
      </c>
      <c r="D77" s="13" t="s">
        <v>543</v>
      </c>
      <c r="E77" s="13" t="s">
        <v>623</v>
      </c>
      <c r="F77" s="14" t="s">
        <v>626</v>
      </c>
      <c r="G77" s="14" t="s">
        <v>627</v>
      </c>
      <c r="H77" s="17"/>
      <c r="I77" s="13" t="s">
        <v>2191</v>
      </c>
      <c r="J77" s="13" t="s">
        <v>666</v>
      </c>
      <c r="K77" s="13" t="s">
        <v>2192</v>
      </c>
      <c r="L77" s="13" t="s">
        <v>2002</v>
      </c>
      <c r="M77" s="14" t="s">
        <v>2184</v>
      </c>
      <c r="N77" s="17"/>
      <c r="O77" s="17"/>
      <c r="P77" s="16" t="s">
        <v>2004</v>
      </c>
      <c r="Q77" s="16" t="s">
        <v>2004</v>
      </c>
      <c r="R77" s="14" t="s">
        <v>630</v>
      </c>
      <c r="S77" s="17"/>
      <c r="T77" s="17"/>
      <c r="U77" s="16" t="s">
        <v>2006</v>
      </c>
      <c r="V77" s="17"/>
      <c r="W77" s="17"/>
      <c r="X77" s="17"/>
      <c r="Y77" s="17"/>
    </row>
    <row r="78" spans="1:25" ht="13.5" customHeight="1">
      <c r="A78" s="12">
        <v>76</v>
      </c>
      <c r="B78" s="13" t="s">
        <v>53</v>
      </c>
      <c r="C78" s="13" t="s">
        <v>54</v>
      </c>
      <c r="D78" s="13" t="s">
        <v>543</v>
      </c>
      <c r="E78" s="13" t="s">
        <v>669</v>
      </c>
      <c r="F78" s="14" t="s">
        <v>672</v>
      </c>
      <c r="G78" s="14" t="s">
        <v>673</v>
      </c>
      <c r="H78" s="17"/>
      <c r="I78" s="13" t="s">
        <v>2193</v>
      </c>
      <c r="J78" s="13" t="s">
        <v>671</v>
      </c>
      <c r="K78" s="13" t="s">
        <v>2194</v>
      </c>
      <c r="L78" s="13" t="s">
        <v>2002</v>
      </c>
      <c r="M78" s="14" t="s">
        <v>2195</v>
      </c>
      <c r="N78" s="17"/>
      <c r="O78" s="17"/>
      <c r="P78" s="16" t="s">
        <v>2004</v>
      </c>
      <c r="Q78" s="16" t="s">
        <v>2004</v>
      </c>
      <c r="R78" s="14" t="s">
        <v>630</v>
      </c>
      <c r="S78" s="17"/>
      <c r="T78" s="17"/>
      <c r="U78" s="16" t="s">
        <v>2006</v>
      </c>
      <c r="V78" s="17"/>
      <c r="W78" s="17"/>
      <c r="X78" s="17"/>
      <c r="Y78" s="17"/>
    </row>
    <row r="79" spans="1:25" ht="13.5" customHeight="1">
      <c r="A79" s="12">
        <v>77</v>
      </c>
      <c r="B79" s="13" t="s">
        <v>53</v>
      </c>
      <c r="C79" s="13" t="s">
        <v>54</v>
      </c>
      <c r="D79" s="13" t="s">
        <v>543</v>
      </c>
      <c r="E79" s="13" t="s">
        <v>669</v>
      </c>
      <c r="F79" s="14" t="s">
        <v>672</v>
      </c>
      <c r="G79" s="14" t="s">
        <v>673</v>
      </c>
      <c r="H79" s="17"/>
      <c r="I79" s="13" t="s">
        <v>2196</v>
      </c>
      <c r="J79" s="13" t="s">
        <v>690</v>
      </c>
      <c r="K79" s="13" t="s">
        <v>2197</v>
      </c>
      <c r="L79" s="13" t="s">
        <v>2002</v>
      </c>
      <c r="M79" s="14" t="s">
        <v>2195</v>
      </c>
      <c r="N79" s="17"/>
      <c r="O79" s="17"/>
      <c r="P79" s="16" t="s">
        <v>2004</v>
      </c>
      <c r="Q79" s="16" t="s">
        <v>2004</v>
      </c>
      <c r="R79" s="14" t="s">
        <v>630</v>
      </c>
      <c r="S79" s="17"/>
      <c r="T79" s="17"/>
      <c r="U79" s="16" t="s">
        <v>2006</v>
      </c>
      <c r="V79" s="17"/>
      <c r="W79" s="17"/>
      <c r="X79" s="17"/>
      <c r="Y79" s="17"/>
    </row>
    <row r="80" spans="1:25" ht="13.5" customHeight="1">
      <c r="A80" s="12">
        <v>78</v>
      </c>
      <c r="B80" s="13" t="s">
        <v>53</v>
      </c>
      <c r="C80" s="13" t="s">
        <v>54</v>
      </c>
      <c r="D80" s="13" t="s">
        <v>543</v>
      </c>
      <c r="E80" s="13" t="s">
        <v>669</v>
      </c>
      <c r="F80" s="14" t="s">
        <v>672</v>
      </c>
      <c r="G80" s="14" t="s">
        <v>673</v>
      </c>
      <c r="H80" s="17"/>
      <c r="I80" s="13" t="s">
        <v>2198</v>
      </c>
      <c r="J80" s="13" t="s">
        <v>694</v>
      </c>
      <c r="K80" s="13" t="s">
        <v>2199</v>
      </c>
      <c r="L80" s="13" t="s">
        <v>2002</v>
      </c>
      <c r="M80" s="14" t="s">
        <v>2195</v>
      </c>
      <c r="N80" s="17"/>
      <c r="O80" s="17"/>
      <c r="P80" s="16" t="s">
        <v>2004</v>
      </c>
      <c r="Q80" s="16" t="s">
        <v>2004</v>
      </c>
      <c r="R80" s="14" t="s">
        <v>630</v>
      </c>
      <c r="S80" s="17"/>
      <c r="T80" s="17"/>
      <c r="U80" s="16" t="s">
        <v>2006</v>
      </c>
      <c r="V80" s="17"/>
      <c r="W80" s="17"/>
      <c r="X80" s="17"/>
      <c r="Y80" s="17"/>
    </row>
    <row r="81" spans="1:25" ht="13.5" customHeight="1">
      <c r="A81" s="12">
        <v>79</v>
      </c>
      <c r="B81" s="13" t="s">
        <v>53</v>
      </c>
      <c r="C81" s="13" t="s">
        <v>54</v>
      </c>
      <c r="D81" s="13" t="s">
        <v>697</v>
      </c>
      <c r="E81" s="13" t="s">
        <v>698</v>
      </c>
      <c r="F81" s="14" t="s">
        <v>702</v>
      </c>
      <c r="G81" s="14" t="s">
        <v>703</v>
      </c>
      <c r="H81" s="17"/>
      <c r="I81" s="13" t="s">
        <v>2200</v>
      </c>
      <c r="J81" s="13" t="s">
        <v>701</v>
      </c>
      <c r="K81" s="13" t="s">
        <v>2201</v>
      </c>
      <c r="L81" s="13" t="s">
        <v>2002</v>
      </c>
      <c r="M81" s="14" t="s">
        <v>2202</v>
      </c>
      <c r="N81" s="17"/>
      <c r="O81" s="17"/>
      <c r="P81" s="16" t="s">
        <v>2004</v>
      </c>
      <c r="Q81" s="16" t="s">
        <v>2004</v>
      </c>
      <c r="R81" s="14" t="s">
        <v>706</v>
      </c>
      <c r="S81" s="17"/>
      <c r="T81" s="17"/>
      <c r="U81" s="16" t="s">
        <v>2006</v>
      </c>
      <c r="V81" s="17"/>
      <c r="W81" s="17"/>
      <c r="X81" s="17"/>
      <c r="Y81" s="17"/>
    </row>
    <row r="82" spans="1:25" ht="13.5" customHeight="1">
      <c r="A82" s="12">
        <v>80</v>
      </c>
      <c r="B82" s="13" t="s">
        <v>53</v>
      </c>
      <c r="C82" s="13" t="s">
        <v>54</v>
      </c>
      <c r="D82" s="13" t="s">
        <v>697</v>
      </c>
      <c r="E82" s="13" t="s">
        <v>698</v>
      </c>
      <c r="F82" s="14" t="s">
        <v>702</v>
      </c>
      <c r="G82" s="14" t="s">
        <v>703</v>
      </c>
      <c r="H82" s="17"/>
      <c r="I82" s="13" t="s">
        <v>2203</v>
      </c>
      <c r="J82" s="13" t="s">
        <v>716</v>
      </c>
      <c r="K82" s="13" t="s">
        <v>2204</v>
      </c>
      <c r="L82" s="13" t="s">
        <v>2002</v>
      </c>
      <c r="M82" s="14" t="s">
        <v>2202</v>
      </c>
      <c r="N82" s="17"/>
      <c r="O82" s="17"/>
      <c r="P82" s="16" t="s">
        <v>2004</v>
      </c>
      <c r="Q82" s="16" t="s">
        <v>2004</v>
      </c>
      <c r="R82" s="14" t="s">
        <v>2205</v>
      </c>
      <c r="S82" s="17"/>
      <c r="T82" s="17"/>
      <c r="U82" s="16" t="s">
        <v>2006</v>
      </c>
      <c r="V82" s="17"/>
      <c r="W82" s="17"/>
      <c r="X82" s="17"/>
      <c r="Y82" s="17"/>
    </row>
    <row r="83" spans="1:25" ht="13.5" customHeight="1">
      <c r="A83" s="12">
        <v>81</v>
      </c>
      <c r="B83" s="13" t="s">
        <v>53</v>
      </c>
      <c r="C83" s="13" t="s">
        <v>54</v>
      </c>
      <c r="D83" s="13" t="s">
        <v>697</v>
      </c>
      <c r="E83" s="13" t="s">
        <v>698</v>
      </c>
      <c r="F83" s="14" t="s">
        <v>702</v>
      </c>
      <c r="G83" s="14" t="s">
        <v>703</v>
      </c>
      <c r="H83" s="17"/>
      <c r="I83" s="13" t="s">
        <v>2206</v>
      </c>
      <c r="J83" s="13" t="s">
        <v>721</v>
      </c>
      <c r="K83" s="13" t="s">
        <v>2207</v>
      </c>
      <c r="L83" s="13" t="s">
        <v>2002</v>
      </c>
      <c r="M83" s="14" t="s">
        <v>2202</v>
      </c>
      <c r="N83" s="17"/>
      <c r="O83" s="17"/>
      <c r="P83" s="16" t="s">
        <v>2004</v>
      </c>
      <c r="Q83" s="16" t="s">
        <v>2004</v>
      </c>
      <c r="R83" s="14" t="s">
        <v>2205</v>
      </c>
      <c r="S83" s="17"/>
      <c r="T83" s="17"/>
      <c r="U83" s="16" t="s">
        <v>2006</v>
      </c>
      <c r="V83" s="17"/>
      <c r="W83" s="17"/>
      <c r="X83" s="17"/>
      <c r="Y83" s="17"/>
    </row>
    <row r="84" spans="1:25" ht="13.5" customHeight="1">
      <c r="A84" s="12">
        <v>82</v>
      </c>
      <c r="B84" s="13" t="s">
        <v>53</v>
      </c>
      <c r="C84" s="13" t="s">
        <v>54</v>
      </c>
      <c r="D84" s="13" t="s">
        <v>697</v>
      </c>
      <c r="E84" s="13" t="s">
        <v>698</v>
      </c>
      <c r="F84" s="14" t="s">
        <v>702</v>
      </c>
      <c r="G84" s="14" t="s">
        <v>703</v>
      </c>
      <c r="H84" s="17"/>
      <c r="I84" s="13" t="s">
        <v>2208</v>
      </c>
      <c r="J84" s="13" t="s">
        <v>725</v>
      </c>
      <c r="K84" s="13" t="s">
        <v>2209</v>
      </c>
      <c r="L84" s="13" t="s">
        <v>2002</v>
      </c>
      <c r="M84" s="14" t="s">
        <v>2202</v>
      </c>
      <c r="N84" s="17"/>
      <c r="O84" s="17"/>
      <c r="P84" s="16" t="s">
        <v>2004</v>
      </c>
      <c r="Q84" s="16" t="s">
        <v>2004</v>
      </c>
      <c r="R84" s="14" t="s">
        <v>2205</v>
      </c>
      <c r="S84" s="17"/>
      <c r="T84" s="17"/>
      <c r="U84" s="16" t="s">
        <v>2006</v>
      </c>
      <c r="V84" s="17"/>
      <c r="W84" s="17"/>
      <c r="X84" s="17"/>
      <c r="Y84" s="17"/>
    </row>
    <row r="85" spans="1:25" ht="13.5" customHeight="1">
      <c r="A85" s="12">
        <v>83</v>
      </c>
      <c r="B85" s="13" t="s">
        <v>53</v>
      </c>
      <c r="C85" s="13" t="s">
        <v>54</v>
      </c>
      <c r="D85" s="13" t="s">
        <v>697</v>
      </c>
      <c r="E85" s="13" t="s">
        <v>698</v>
      </c>
      <c r="F85" s="14" t="s">
        <v>702</v>
      </c>
      <c r="G85" s="14" t="s">
        <v>703</v>
      </c>
      <c r="H85" s="17"/>
      <c r="I85" s="13" t="s">
        <v>2210</v>
      </c>
      <c r="J85" s="13" t="s">
        <v>729</v>
      </c>
      <c r="K85" s="13" t="s">
        <v>2211</v>
      </c>
      <c r="L85" s="13" t="s">
        <v>2002</v>
      </c>
      <c r="M85" s="14" t="s">
        <v>2202</v>
      </c>
      <c r="N85" s="17"/>
      <c r="O85" s="17"/>
      <c r="P85" s="16" t="s">
        <v>2004</v>
      </c>
      <c r="Q85" s="16" t="s">
        <v>2004</v>
      </c>
      <c r="R85" s="14" t="s">
        <v>2205</v>
      </c>
      <c r="S85" s="17"/>
      <c r="T85" s="17"/>
      <c r="U85" s="16" t="s">
        <v>2006</v>
      </c>
      <c r="V85" s="17"/>
      <c r="W85" s="17"/>
      <c r="X85" s="17"/>
      <c r="Y85" s="17"/>
    </row>
    <row r="86" spans="1:25" ht="13.5" customHeight="1">
      <c r="A86" s="12">
        <v>84</v>
      </c>
      <c r="B86" s="13" t="s">
        <v>53</v>
      </c>
      <c r="C86" s="13" t="s">
        <v>54</v>
      </c>
      <c r="D86" s="13" t="s">
        <v>697</v>
      </c>
      <c r="E86" s="13" t="s">
        <v>698</v>
      </c>
      <c r="F86" s="14" t="s">
        <v>702</v>
      </c>
      <c r="G86" s="14" t="s">
        <v>703</v>
      </c>
      <c r="H86" s="17"/>
      <c r="I86" s="13" t="s">
        <v>2212</v>
      </c>
      <c r="J86" s="13" t="s">
        <v>733</v>
      </c>
      <c r="K86" s="13" t="s">
        <v>2213</v>
      </c>
      <c r="L86" s="13" t="s">
        <v>2002</v>
      </c>
      <c r="M86" s="14" t="s">
        <v>2202</v>
      </c>
      <c r="N86" s="17"/>
      <c r="O86" s="17"/>
      <c r="P86" s="16" t="s">
        <v>2004</v>
      </c>
      <c r="Q86" s="16" t="s">
        <v>2004</v>
      </c>
      <c r="R86" s="14" t="s">
        <v>2205</v>
      </c>
      <c r="S86" s="17"/>
      <c r="T86" s="17"/>
      <c r="U86" s="16" t="s">
        <v>2006</v>
      </c>
      <c r="V86" s="17"/>
      <c r="W86" s="17"/>
      <c r="X86" s="17"/>
      <c r="Y86" s="17"/>
    </row>
    <row r="87" spans="1:25" ht="13.5" customHeight="1">
      <c r="A87" s="12">
        <v>85</v>
      </c>
      <c r="B87" s="13" t="s">
        <v>53</v>
      </c>
      <c r="C87" s="13" t="s">
        <v>54</v>
      </c>
      <c r="D87" s="13" t="s">
        <v>697</v>
      </c>
      <c r="E87" s="13" t="s">
        <v>698</v>
      </c>
      <c r="F87" s="14"/>
      <c r="G87" s="14"/>
      <c r="H87" s="17"/>
      <c r="I87" s="13" t="s">
        <v>2214</v>
      </c>
      <c r="J87" s="13" t="s">
        <v>737</v>
      </c>
      <c r="K87" s="13" t="s">
        <v>2215</v>
      </c>
      <c r="L87" s="13" t="s">
        <v>2116</v>
      </c>
      <c r="M87" s="14"/>
      <c r="N87" s="17"/>
      <c r="O87" s="17"/>
      <c r="P87" s="16" t="s">
        <v>2004</v>
      </c>
      <c r="Q87" s="16" t="s">
        <v>2004</v>
      </c>
      <c r="R87" s="14" t="s">
        <v>706</v>
      </c>
      <c r="S87" s="17"/>
      <c r="T87" s="17"/>
      <c r="U87" s="16" t="s">
        <v>2006</v>
      </c>
      <c r="V87" s="17"/>
      <c r="W87" s="17"/>
      <c r="X87" s="17"/>
      <c r="Y87" s="17"/>
    </row>
    <row r="88" spans="1:25" ht="13.5" customHeight="1">
      <c r="A88" s="12">
        <v>86</v>
      </c>
      <c r="B88" s="13" t="s">
        <v>53</v>
      </c>
      <c r="C88" s="13" t="s">
        <v>54</v>
      </c>
      <c r="D88" s="13" t="s">
        <v>697</v>
      </c>
      <c r="E88" s="13" t="s">
        <v>742</v>
      </c>
      <c r="F88" s="14" t="s">
        <v>745</v>
      </c>
      <c r="G88" s="14" t="s">
        <v>2216</v>
      </c>
      <c r="H88" s="17"/>
      <c r="I88" s="13" t="s">
        <v>2217</v>
      </c>
      <c r="J88" s="13" t="s">
        <v>744</v>
      </c>
      <c r="K88" s="13" t="s">
        <v>2218</v>
      </c>
      <c r="L88" s="13" t="s">
        <v>2002</v>
      </c>
      <c r="M88" s="14" t="s">
        <v>2219</v>
      </c>
      <c r="N88" s="17"/>
      <c r="O88" s="17"/>
      <c r="P88" s="16" t="s">
        <v>2004</v>
      </c>
      <c r="Q88" s="16" t="s">
        <v>2004</v>
      </c>
      <c r="R88" s="14" t="s">
        <v>2220</v>
      </c>
      <c r="S88" s="17"/>
      <c r="T88" s="17"/>
      <c r="U88" s="16" t="s">
        <v>2006</v>
      </c>
      <c r="V88" s="17"/>
      <c r="W88" s="17"/>
      <c r="X88" s="17"/>
      <c r="Y88" s="17"/>
    </row>
    <row r="89" spans="1:25" ht="13.5" customHeight="1">
      <c r="A89" s="12">
        <v>87</v>
      </c>
      <c r="B89" s="13" t="s">
        <v>53</v>
      </c>
      <c r="C89" s="13" t="s">
        <v>54</v>
      </c>
      <c r="D89" s="13" t="s">
        <v>697</v>
      </c>
      <c r="E89" s="13" t="s">
        <v>742</v>
      </c>
      <c r="F89" s="14" t="s">
        <v>745</v>
      </c>
      <c r="G89" s="14" t="s">
        <v>2216</v>
      </c>
      <c r="H89" s="17"/>
      <c r="I89" s="13" t="s">
        <v>2221</v>
      </c>
      <c r="J89" s="13" t="s">
        <v>764</v>
      </c>
      <c r="K89" s="13" t="s">
        <v>2222</v>
      </c>
      <c r="L89" s="13" t="s">
        <v>2002</v>
      </c>
      <c r="M89" s="14" t="s">
        <v>2219</v>
      </c>
      <c r="N89" s="17"/>
      <c r="O89" s="17"/>
      <c r="P89" s="16" t="s">
        <v>2004</v>
      </c>
      <c r="Q89" s="16" t="s">
        <v>2004</v>
      </c>
      <c r="R89" s="14" t="s">
        <v>2220</v>
      </c>
      <c r="S89" s="17"/>
      <c r="T89" s="17"/>
      <c r="U89" s="16" t="s">
        <v>2006</v>
      </c>
      <c r="V89" s="17"/>
      <c r="W89" s="17"/>
      <c r="X89" s="17"/>
      <c r="Y89" s="17"/>
    </row>
    <row r="90" spans="1:25" ht="13.5" customHeight="1">
      <c r="A90" s="12">
        <v>88</v>
      </c>
      <c r="B90" s="13" t="s">
        <v>53</v>
      </c>
      <c r="C90" s="13" t="s">
        <v>54</v>
      </c>
      <c r="D90" s="13" t="s">
        <v>697</v>
      </c>
      <c r="E90" s="13" t="s">
        <v>742</v>
      </c>
      <c r="F90" s="14" t="s">
        <v>745</v>
      </c>
      <c r="G90" s="14" t="s">
        <v>2216</v>
      </c>
      <c r="H90" s="17"/>
      <c r="I90" s="13" t="s">
        <v>2223</v>
      </c>
      <c r="J90" s="13" t="s">
        <v>768</v>
      </c>
      <c r="K90" s="13" t="s">
        <v>2224</v>
      </c>
      <c r="L90" s="13" t="s">
        <v>2002</v>
      </c>
      <c r="M90" s="14" t="s">
        <v>2219</v>
      </c>
      <c r="N90" s="17"/>
      <c r="O90" s="17"/>
      <c r="P90" s="16" t="s">
        <v>2004</v>
      </c>
      <c r="Q90" s="16" t="s">
        <v>2004</v>
      </c>
      <c r="R90" s="14" t="s">
        <v>2220</v>
      </c>
      <c r="S90" s="17"/>
      <c r="T90" s="17"/>
      <c r="U90" s="16" t="s">
        <v>2006</v>
      </c>
      <c r="V90" s="17"/>
      <c r="W90" s="17"/>
      <c r="X90" s="17"/>
      <c r="Y90" s="17"/>
    </row>
    <row r="91" spans="1:25" ht="13.5" customHeight="1">
      <c r="A91" s="12">
        <v>89</v>
      </c>
      <c r="B91" s="13" t="s">
        <v>53</v>
      </c>
      <c r="C91" s="13" t="s">
        <v>54</v>
      </c>
      <c r="D91" s="13" t="s">
        <v>697</v>
      </c>
      <c r="E91" s="13" t="s">
        <v>742</v>
      </c>
      <c r="F91" s="14" t="s">
        <v>745</v>
      </c>
      <c r="G91" s="14" t="s">
        <v>2216</v>
      </c>
      <c r="H91" s="17"/>
      <c r="I91" s="13" t="s">
        <v>2225</v>
      </c>
      <c r="J91" s="13" t="s">
        <v>772</v>
      </c>
      <c r="K91" s="13" t="s">
        <v>2226</v>
      </c>
      <c r="L91" s="13" t="s">
        <v>2002</v>
      </c>
      <c r="M91" s="14" t="s">
        <v>2219</v>
      </c>
      <c r="N91" s="17"/>
      <c r="O91" s="17"/>
      <c r="P91" s="16" t="s">
        <v>2004</v>
      </c>
      <c r="Q91" s="16" t="s">
        <v>2004</v>
      </c>
      <c r="R91" s="14" t="s">
        <v>2220</v>
      </c>
      <c r="S91" s="17"/>
      <c r="T91" s="17"/>
      <c r="U91" s="16" t="s">
        <v>2006</v>
      </c>
      <c r="V91" s="17"/>
      <c r="W91" s="17"/>
      <c r="X91" s="17"/>
      <c r="Y91" s="17"/>
    </row>
    <row r="92" spans="1:25" ht="13.5" customHeight="1">
      <c r="A92" s="12">
        <v>90</v>
      </c>
      <c r="B92" s="13" t="s">
        <v>53</v>
      </c>
      <c r="C92" s="13" t="s">
        <v>54</v>
      </c>
      <c r="D92" s="13" t="s">
        <v>697</v>
      </c>
      <c r="E92" s="13" t="s">
        <v>775</v>
      </c>
      <c r="F92" s="14" t="s">
        <v>778</v>
      </c>
      <c r="G92" s="14" t="s">
        <v>779</v>
      </c>
      <c r="H92" s="17"/>
      <c r="I92" s="13" t="s">
        <v>2227</v>
      </c>
      <c r="J92" s="13" t="s">
        <v>777</v>
      </c>
      <c r="K92" s="13" t="s">
        <v>2228</v>
      </c>
      <c r="L92" s="13" t="s">
        <v>2002</v>
      </c>
      <c r="M92" s="14" t="s">
        <v>2229</v>
      </c>
      <c r="N92" s="17"/>
      <c r="O92" s="17"/>
      <c r="P92" s="16" t="s">
        <v>2004</v>
      </c>
      <c r="Q92" s="16" t="s">
        <v>2004</v>
      </c>
      <c r="R92" s="14" t="s">
        <v>2230</v>
      </c>
      <c r="S92" s="17"/>
      <c r="T92" s="17"/>
      <c r="U92" s="16" t="s">
        <v>2006</v>
      </c>
      <c r="V92" s="17"/>
      <c r="W92" s="17"/>
      <c r="X92" s="17"/>
      <c r="Y92" s="17"/>
    </row>
    <row r="93" spans="1:25" ht="13.5" customHeight="1">
      <c r="A93" s="12">
        <v>91</v>
      </c>
      <c r="B93" s="13" t="s">
        <v>53</v>
      </c>
      <c r="C93" s="13" t="s">
        <v>54</v>
      </c>
      <c r="D93" s="13" t="s">
        <v>697</v>
      </c>
      <c r="E93" s="13" t="s">
        <v>775</v>
      </c>
      <c r="F93" s="14" t="s">
        <v>778</v>
      </c>
      <c r="G93" s="14" t="s">
        <v>779</v>
      </c>
      <c r="H93" s="17"/>
      <c r="I93" s="13" t="s">
        <v>2231</v>
      </c>
      <c r="J93" s="13" t="s">
        <v>785</v>
      </c>
      <c r="K93" s="13" t="s">
        <v>2232</v>
      </c>
      <c r="L93" s="13" t="s">
        <v>2002</v>
      </c>
      <c r="M93" s="14" t="s">
        <v>2229</v>
      </c>
      <c r="N93" s="17"/>
      <c r="O93" s="17"/>
      <c r="P93" s="16" t="s">
        <v>2004</v>
      </c>
      <c r="Q93" s="16" t="s">
        <v>2004</v>
      </c>
      <c r="R93" s="14" t="s">
        <v>2230</v>
      </c>
      <c r="S93" s="17"/>
      <c r="T93" s="17"/>
      <c r="U93" s="16" t="s">
        <v>2006</v>
      </c>
      <c r="V93" s="17"/>
      <c r="W93" s="17"/>
      <c r="X93" s="17"/>
      <c r="Y93" s="17"/>
    </row>
    <row r="94" spans="1:25" ht="13.5" customHeight="1">
      <c r="A94" s="12">
        <v>92</v>
      </c>
      <c r="B94" s="13" t="s">
        <v>53</v>
      </c>
      <c r="C94" s="13" t="s">
        <v>54</v>
      </c>
      <c r="D94" s="13" t="s">
        <v>697</v>
      </c>
      <c r="E94" s="13" t="s">
        <v>775</v>
      </c>
      <c r="F94" s="14" t="s">
        <v>790</v>
      </c>
      <c r="G94" s="14" t="s">
        <v>779</v>
      </c>
      <c r="H94" s="17"/>
      <c r="I94" s="13" t="s">
        <v>2233</v>
      </c>
      <c r="J94" s="13" t="s">
        <v>789</v>
      </c>
      <c r="K94" s="13" t="s">
        <v>2234</v>
      </c>
      <c r="L94" s="13" t="s">
        <v>2002</v>
      </c>
      <c r="M94" s="14" t="s">
        <v>2229</v>
      </c>
      <c r="N94" s="17"/>
      <c r="O94" s="17"/>
      <c r="P94" s="16" t="s">
        <v>2004</v>
      </c>
      <c r="Q94" s="16" t="s">
        <v>2004</v>
      </c>
      <c r="R94" s="14" t="s">
        <v>2230</v>
      </c>
      <c r="S94" s="17"/>
      <c r="T94" s="17"/>
      <c r="U94" s="16" t="s">
        <v>2006</v>
      </c>
      <c r="V94" s="17"/>
      <c r="W94" s="17"/>
      <c r="X94" s="17"/>
      <c r="Y94" s="17"/>
    </row>
    <row r="95" spans="1:25" ht="13.5" customHeight="1">
      <c r="A95" s="12">
        <v>93</v>
      </c>
      <c r="B95" s="13" t="s">
        <v>53</v>
      </c>
      <c r="C95" s="13" t="s">
        <v>54</v>
      </c>
      <c r="D95" s="13" t="s">
        <v>697</v>
      </c>
      <c r="E95" s="13" t="s">
        <v>793</v>
      </c>
      <c r="F95" s="14" t="s">
        <v>796</v>
      </c>
      <c r="G95" s="14" t="s">
        <v>797</v>
      </c>
      <c r="H95" s="17"/>
      <c r="I95" s="13" t="s">
        <v>2235</v>
      </c>
      <c r="J95" s="13" t="s">
        <v>795</v>
      </c>
      <c r="K95" s="13" t="s">
        <v>2236</v>
      </c>
      <c r="L95" s="13" t="s">
        <v>2002</v>
      </c>
      <c r="M95" s="14" t="s">
        <v>2237</v>
      </c>
      <c r="N95" s="17"/>
      <c r="O95" s="17"/>
      <c r="P95" s="16" t="s">
        <v>2004</v>
      </c>
      <c r="Q95" s="16" t="s">
        <v>2004</v>
      </c>
      <c r="R95" s="14" t="s">
        <v>2238</v>
      </c>
      <c r="S95" s="17"/>
      <c r="T95" s="17"/>
      <c r="U95" s="16" t="s">
        <v>2006</v>
      </c>
      <c r="V95" s="17"/>
      <c r="W95" s="17"/>
      <c r="X95" s="17"/>
      <c r="Y95" s="17"/>
    </row>
    <row r="96" spans="1:25" ht="13.5" customHeight="1">
      <c r="A96" s="12">
        <v>94</v>
      </c>
      <c r="B96" s="13" t="s">
        <v>53</v>
      </c>
      <c r="C96" s="13" t="s">
        <v>54</v>
      </c>
      <c r="D96" s="13" t="s">
        <v>697</v>
      </c>
      <c r="E96" s="13" t="s">
        <v>793</v>
      </c>
      <c r="F96" s="14" t="s">
        <v>796</v>
      </c>
      <c r="G96" s="14" t="s">
        <v>797</v>
      </c>
      <c r="H96" s="17"/>
      <c r="I96" s="13" t="s">
        <v>2239</v>
      </c>
      <c r="J96" s="13" t="s">
        <v>803</v>
      </c>
      <c r="K96" s="13" t="s">
        <v>2240</v>
      </c>
      <c r="L96" s="13" t="s">
        <v>2002</v>
      </c>
      <c r="M96" s="14" t="s">
        <v>2237</v>
      </c>
      <c r="N96" s="17"/>
      <c r="O96" s="17"/>
      <c r="P96" s="16" t="s">
        <v>2004</v>
      </c>
      <c r="Q96" s="16" t="s">
        <v>2004</v>
      </c>
      <c r="R96" s="14" t="s">
        <v>2238</v>
      </c>
      <c r="S96" s="17"/>
      <c r="T96" s="17"/>
      <c r="U96" s="16" t="s">
        <v>2006</v>
      </c>
      <c r="V96" s="17"/>
      <c r="W96" s="17"/>
      <c r="X96" s="17"/>
      <c r="Y96" s="17"/>
    </row>
    <row r="97" spans="1:25" ht="13.5" customHeight="1">
      <c r="A97" s="12">
        <v>95</v>
      </c>
      <c r="B97" s="13" t="s">
        <v>53</v>
      </c>
      <c r="C97" s="13" t="s">
        <v>54</v>
      </c>
      <c r="D97" s="13" t="s">
        <v>697</v>
      </c>
      <c r="E97" s="13" t="s">
        <v>793</v>
      </c>
      <c r="F97" s="14" t="s">
        <v>796</v>
      </c>
      <c r="G97" s="14" t="s">
        <v>797</v>
      </c>
      <c r="H97" s="17"/>
      <c r="I97" s="13" t="s">
        <v>2241</v>
      </c>
      <c r="J97" s="13" t="s">
        <v>807</v>
      </c>
      <c r="K97" s="13" t="s">
        <v>2242</v>
      </c>
      <c r="L97" s="13" t="s">
        <v>2002</v>
      </c>
      <c r="M97" s="14" t="s">
        <v>2237</v>
      </c>
      <c r="N97" s="17"/>
      <c r="O97" s="17"/>
      <c r="P97" s="16" t="s">
        <v>2004</v>
      </c>
      <c r="Q97" s="16" t="s">
        <v>2004</v>
      </c>
      <c r="R97" s="14" t="s">
        <v>2238</v>
      </c>
      <c r="S97" s="17"/>
      <c r="T97" s="17"/>
      <c r="U97" s="16" t="s">
        <v>2006</v>
      </c>
      <c r="V97" s="17"/>
      <c r="W97" s="17"/>
      <c r="X97" s="17"/>
      <c r="Y97" s="17"/>
    </row>
    <row r="98" spans="1:25" ht="13.5" customHeight="1">
      <c r="A98" s="12">
        <v>96</v>
      </c>
      <c r="B98" s="13" t="s">
        <v>53</v>
      </c>
      <c r="C98" s="13" t="s">
        <v>54</v>
      </c>
      <c r="D98" s="13" t="s">
        <v>697</v>
      </c>
      <c r="E98" s="13" t="s">
        <v>810</v>
      </c>
      <c r="F98" s="14" t="s">
        <v>813</v>
      </c>
      <c r="G98" s="14" t="s">
        <v>814</v>
      </c>
      <c r="H98" s="17"/>
      <c r="I98" s="13" t="s">
        <v>2243</v>
      </c>
      <c r="J98" s="13" t="s">
        <v>812</v>
      </c>
      <c r="K98" s="13" t="s">
        <v>2244</v>
      </c>
      <c r="L98" s="13" t="s">
        <v>2002</v>
      </c>
      <c r="M98" s="14" t="s">
        <v>2245</v>
      </c>
      <c r="N98" s="17"/>
      <c r="O98" s="17"/>
      <c r="P98" s="16" t="s">
        <v>2004</v>
      </c>
      <c r="Q98" s="16" t="s">
        <v>2004</v>
      </c>
      <c r="R98" s="14" t="s">
        <v>2246</v>
      </c>
      <c r="S98" s="17"/>
      <c r="T98" s="17"/>
      <c r="U98" s="16" t="s">
        <v>2006</v>
      </c>
      <c r="V98" s="17"/>
      <c r="W98" s="17"/>
      <c r="X98" s="17"/>
      <c r="Y98" s="17"/>
    </row>
    <row r="99" spans="1:25" ht="13.5" customHeight="1">
      <c r="A99" s="12">
        <v>97</v>
      </c>
      <c r="B99" s="13" t="s">
        <v>53</v>
      </c>
      <c r="C99" s="13" t="s">
        <v>54</v>
      </c>
      <c r="D99" s="13" t="s">
        <v>697</v>
      </c>
      <c r="E99" s="13" t="s">
        <v>810</v>
      </c>
      <c r="F99" s="14" t="s">
        <v>813</v>
      </c>
      <c r="G99" s="14" t="s">
        <v>814</v>
      </c>
      <c r="H99" s="17"/>
      <c r="I99" s="13" t="s">
        <v>2247</v>
      </c>
      <c r="J99" s="13" t="s">
        <v>820</v>
      </c>
      <c r="K99" s="13" t="s">
        <v>2248</v>
      </c>
      <c r="L99" s="13" t="s">
        <v>2002</v>
      </c>
      <c r="M99" s="14" t="s">
        <v>2245</v>
      </c>
      <c r="N99" s="17"/>
      <c r="O99" s="16" t="s">
        <v>2004</v>
      </c>
      <c r="P99" s="16" t="s">
        <v>2004</v>
      </c>
      <c r="Q99" s="16" t="s">
        <v>2004</v>
      </c>
      <c r="R99" s="14" t="s">
        <v>2246</v>
      </c>
      <c r="S99" s="17"/>
      <c r="T99" s="17"/>
      <c r="U99" s="16" t="s">
        <v>2006</v>
      </c>
      <c r="V99" s="17"/>
      <c r="W99" s="17"/>
      <c r="X99" s="17"/>
      <c r="Y99" s="17"/>
    </row>
    <row r="100" spans="1:25" ht="13.5" customHeight="1">
      <c r="A100" s="12">
        <v>98</v>
      </c>
      <c r="B100" s="13" t="s">
        <v>53</v>
      </c>
      <c r="C100" s="13" t="s">
        <v>54</v>
      </c>
      <c r="D100" s="13" t="s">
        <v>697</v>
      </c>
      <c r="E100" s="13" t="s">
        <v>810</v>
      </c>
      <c r="F100" s="14" t="s">
        <v>813</v>
      </c>
      <c r="G100" s="14" t="s">
        <v>814</v>
      </c>
      <c r="H100" s="17"/>
      <c r="I100" s="13" t="s">
        <v>2249</v>
      </c>
      <c r="J100" s="13" t="s">
        <v>825</v>
      </c>
      <c r="K100" s="13" t="s">
        <v>2250</v>
      </c>
      <c r="L100" s="13" t="s">
        <v>2002</v>
      </c>
      <c r="M100" s="14" t="s">
        <v>2245</v>
      </c>
      <c r="N100" s="17"/>
      <c r="O100" s="17"/>
      <c r="P100" s="16" t="s">
        <v>2004</v>
      </c>
      <c r="Q100" s="16" t="s">
        <v>2004</v>
      </c>
      <c r="R100" s="14" t="s">
        <v>2246</v>
      </c>
      <c r="S100" s="17"/>
      <c r="T100" s="17"/>
      <c r="U100" s="16" t="s">
        <v>2006</v>
      </c>
      <c r="V100" s="17"/>
      <c r="W100" s="17"/>
      <c r="X100" s="17"/>
      <c r="Y100" s="17"/>
    </row>
    <row r="101" spans="1:25" ht="13.5" customHeight="1">
      <c r="A101" s="12">
        <v>99</v>
      </c>
      <c r="B101" s="13" t="s">
        <v>53</v>
      </c>
      <c r="C101" s="13" t="s">
        <v>54</v>
      </c>
      <c r="D101" s="13" t="s">
        <v>697</v>
      </c>
      <c r="E101" s="13" t="s">
        <v>828</v>
      </c>
      <c r="F101" s="14" t="s">
        <v>831</v>
      </c>
      <c r="G101" s="14" t="s">
        <v>832</v>
      </c>
      <c r="H101" s="17"/>
      <c r="I101" s="13" t="s">
        <v>2251</v>
      </c>
      <c r="J101" s="13" t="s">
        <v>830</v>
      </c>
      <c r="K101" s="13" t="s">
        <v>2252</v>
      </c>
      <c r="L101" s="13" t="s">
        <v>2002</v>
      </c>
      <c r="M101" s="14" t="s">
        <v>2253</v>
      </c>
      <c r="N101" s="17"/>
      <c r="O101" s="16" t="s">
        <v>2004</v>
      </c>
      <c r="P101" s="16" t="s">
        <v>2004</v>
      </c>
      <c r="Q101" s="16" t="s">
        <v>2004</v>
      </c>
      <c r="R101" s="14" t="s">
        <v>2254</v>
      </c>
      <c r="S101" s="17"/>
      <c r="T101" s="17"/>
      <c r="U101" s="16" t="s">
        <v>2006</v>
      </c>
      <c r="V101" s="17"/>
      <c r="W101" s="17"/>
      <c r="X101" s="17"/>
      <c r="Y101" s="17"/>
    </row>
    <row r="102" spans="1:25" ht="13.5" customHeight="1">
      <c r="A102" s="12">
        <v>100</v>
      </c>
      <c r="B102" s="13" t="s">
        <v>87</v>
      </c>
      <c r="C102" s="13" t="s">
        <v>54</v>
      </c>
      <c r="D102" s="13" t="s">
        <v>697</v>
      </c>
      <c r="E102" s="13" t="s">
        <v>828</v>
      </c>
      <c r="F102" s="14" t="s">
        <v>839</v>
      </c>
      <c r="G102" s="14" t="s">
        <v>840</v>
      </c>
      <c r="H102" s="17"/>
      <c r="I102" s="13"/>
      <c r="J102" s="13" t="s">
        <v>838</v>
      </c>
      <c r="K102" s="13" t="s">
        <v>2255</v>
      </c>
      <c r="L102" s="13"/>
      <c r="M102" s="14" t="s">
        <v>2256</v>
      </c>
      <c r="N102" s="17"/>
      <c r="O102" s="16"/>
      <c r="P102" s="16"/>
      <c r="Q102" s="16"/>
      <c r="R102" s="14"/>
      <c r="S102" s="17"/>
      <c r="T102" s="17"/>
      <c r="U102" s="16" t="s">
        <v>2006</v>
      </c>
      <c r="V102" s="17"/>
      <c r="W102" s="17"/>
      <c r="X102" s="17"/>
      <c r="Y102" s="17"/>
    </row>
    <row r="103" spans="1:25" ht="13.5" customHeight="1">
      <c r="A103" s="12">
        <v>101</v>
      </c>
      <c r="B103" s="13" t="s">
        <v>53</v>
      </c>
      <c r="C103" s="13" t="s">
        <v>54</v>
      </c>
      <c r="D103" s="13" t="s">
        <v>697</v>
      </c>
      <c r="E103" s="13" t="s">
        <v>828</v>
      </c>
      <c r="F103" s="14" t="s">
        <v>831</v>
      </c>
      <c r="G103" s="14" t="s">
        <v>832</v>
      </c>
      <c r="H103" s="17"/>
      <c r="I103" s="13" t="s">
        <v>2257</v>
      </c>
      <c r="J103" s="13" t="s">
        <v>852</v>
      </c>
      <c r="K103" s="13" t="s">
        <v>2258</v>
      </c>
      <c r="L103" s="13" t="s">
        <v>2002</v>
      </c>
      <c r="M103" s="14" t="s">
        <v>2253</v>
      </c>
      <c r="N103" s="17"/>
      <c r="O103" s="17"/>
      <c r="P103" s="16" t="s">
        <v>2004</v>
      </c>
      <c r="Q103" s="16" t="s">
        <v>2004</v>
      </c>
      <c r="R103" s="14" t="s">
        <v>2254</v>
      </c>
      <c r="S103" s="17"/>
      <c r="T103" s="17"/>
      <c r="U103" s="16" t="s">
        <v>2006</v>
      </c>
      <c r="V103" s="17"/>
      <c r="W103" s="17"/>
      <c r="X103" s="17"/>
      <c r="Y103" s="17"/>
    </row>
    <row r="104" spans="1:25" ht="13.5" customHeight="1">
      <c r="A104" s="12">
        <v>102</v>
      </c>
      <c r="B104" s="13" t="s">
        <v>53</v>
      </c>
      <c r="C104" s="13" t="s">
        <v>54</v>
      </c>
      <c r="D104" s="13" t="s">
        <v>697</v>
      </c>
      <c r="E104" s="13" t="s">
        <v>828</v>
      </c>
      <c r="F104" s="14" t="s">
        <v>831</v>
      </c>
      <c r="G104" s="14" t="s">
        <v>832</v>
      </c>
      <c r="H104" s="17"/>
      <c r="I104" s="13" t="s">
        <v>2259</v>
      </c>
      <c r="J104" s="13" t="s">
        <v>856</v>
      </c>
      <c r="K104" s="13" t="s">
        <v>2260</v>
      </c>
      <c r="L104" s="13" t="s">
        <v>2002</v>
      </c>
      <c r="M104" s="14" t="s">
        <v>2253</v>
      </c>
      <c r="N104" s="17"/>
      <c r="O104" s="17"/>
      <c r="P104" s="16" t="s">
        <v>2004</v>
      </c>
      <c r="Q104" s="16" t="s">
        <v>2004</v>
      </c>
      <c r="R104" s="14" t="s">
        <v>2254</v>
      </c>
      <c r="S104" s="17"/>
      <c r="T104" s="17"/>
      <c r="U104" s="16" t="s">
        <v>2006</v>
      </c>
      <c r="V104" s="17"/>
      <c r="W104" s="17"/>
      <c r="X104" s="17"/>
      <c r="Y104" s="17"/>
    </row>
    <row r="105" spans="1:25" ht="13.5" customHeight="1">
      <c r="A105" s="12">
        <v>103</v>
      </c>
      <c r="B105" s="13" t="s">
        <v>53</v>
      </c>
      <c r="C105" s="13" t="s">
        <v>54</v>
      </c>
      <c r="D105" s="13" t="s">
        <v>859</v>
      </c>
      <c r="E105" s="13" t="s">
        <v>860</v>
      </c>
      <c r="F105" s="14" t="s">
        <v>863</v>
      </c>
      <c r="G105" s="14" t="s">
        <v>2261</v>
      </c>
      <c r="H105" s="17"/>
      <c r="I105" s="13" t="s">
        <v>2262</v>
      </c>
      <c r="J105" s="13" t="s">
        <v>862</v>
      </c>
      <c r="K105" s="13" t="s">
        <v>2263</v>
      </c>
      <c r="L105" s="13" t="s">
        <v>2002</v>
      </c>
      <c r="M105" s="14" t="s">
        <v>2264</v>
      </c>
      <c r="N105" s="16" t="s">
        <v>2004</v>
      </c>
      <c r="O105" s="16" t="s">
        <v>2004</v>
      </c>
      <c r="P105" s="17"/>
      <c r="Q105" s="17"/>
      <c r="R105" s="14" t="s">
        <v>2265</v>
      </c>
      <c r="S105" s="17"/>
      <c r="T105" s="17"/>
      <c r="U105" s="16" t="s">
        <v>2006</v>
      </c>
      <c r="V105" s="17"/>
      <c r="W105" s="17"/>
      <c r="X105" s="17"/>
      <c r="Y105" s="17"/>
    </row>
    <row r="106" spans="1:25" ht="13.5" customHeight="1">
      <c r="A106" s="12">
        <v>104</v>
      </c>
      <c r="B106" s="13" t="s">
        <v>53</v>
      </c>
      <c r="C106" s="13" t="s">
        <v>54</v>
      </c>
      <c r="D106" s="13" t="s">
        <v>859</v>
      </c>
      <c r="E106" s="13" t="s">
        <v>860</v>
      </c>
      <c r="F106" s="14" t="s">
        <v>863</v>
      </c>
      <c r="G106" s="14" t="s">
        <v>2261</v>
      </c>
      <c r="H106" s="17"/>
      <c r="I106" s="13" t="s">
        <v>2266</v>
      </c>
      <c r="J106" s="13" t="s">
        <v>876</v>
      </c>
      <c r="K106" s="13" t="s">
        <v>2267</v>
      </c>
      <c r="L106" s="13" t="s">
        <v>2002</v>
      </c>
      <c r="M106" s="14" t="s">
        <v>2264</v>
      </c>
      <c r="N106" s="16" t="s">
        <v>2004</v>
      </c>
      <c r="O106" s="16" t="s">
        <v>2004</v>
      </c>
      <c r="P106" s="17"/>
      <c r="Q106" s="17"/>
      <c r="R106" s="14" t="s">
        <v>2265</v>
      </c>
      <c r="S106" s="17"/>
      <c r="T106" s="17"/>
      <c r="U106" s="16" t="s">
        <v>2006</v>
      </c>
      <c r="V106" s="17"/>
      <c r="W106" s="17"/>
      <c r="X106" s="17"/>
      <c r="Y106" s="17"/>
    </row>
    <row r="107" spans="1:25" ht="13.5" customHeight="1">
      <c r="A107" s="12">
        <v>105</v>
      </c>
      <c r="B107" s="13" t="s">
        <v>53</v>
      </c>
      <c r="C107" s="13" t="s">
        <v>54</v>
      </c>
      <c r="D107" s="13" t="s">
        <v>859</v>
      </c>
      <c r="E107" s="13" t="s">
        <v>879</v>
      </c>
      <c r="F107" s="14" t="s">
        <v>882</v>
      </c>
      <c r="G107" s="14" t="s">
        <v>883</v>
      </c>
      <c r="H107" s="17"/>
      <c r="I107" s="13" t="s">
        <v>2268</v>
      </c>
      <c r="J107" s="13" t="s">
        <v>881</v>
      </c>
      <c r="K107" s="13" t="s">
        <v>2269</v>
      </c>
      <c r="L107" s="13" t="s">
        <v>2002</v>
      </c>
      <c r="M107" s="14" t="s">
        <v>2270</v>
      </c>
      <c r="N107" s="16" t="s">
        <v>2004</v>
      </c>
      <c r="O107" s="16" t="s">
        <v>2004</v>
      </c>
      <c r="P107" s="17"/>
      <c r="Q107" s="17"/>
      <c r="R107" s="14" t="s">
        <v>2271</v>
      </c>
      <c r="S107" s="17"/>
      <c r="T107" s="17"/>
      <c r="U107" s="16" t="s">
        <v>2006</v>
      </c>
      <c r="V107" s="17"/>
      <c r="W107" s="17"/>
      <c r="X107" s="17"/>
      <c r="Y107" s="17"/>
    </row>
    <row r="108" spans="1:25" ht="13.5" customHeight="1">
      <c r="A108" s="12">
        <v>106</v>
      </c>
      <c r="B108" s="13" t="s">
        <v>53</v>
      </c>
      <c r="C108" s="13" t="s">
        <v>54</v>
      </c>
      <c r="D108" s="13" t="s">
        <v>859</v>
      </c>
      <c r="E108" s="13" t="s">
        <v>879</v>
      </c>
      <c r="F108" s="14" t="s">
        <v>882</v>
      </c>
      <c r="G108" s="14" t="s">
        <v>883</v>
      </c>
      <c r="H108" s="17"/>
      <c r="I108" s="13" t="s">
        <v>2272</v>
      </c>
      <c r="J108" s="13" t="s">
        <v>889</v>
      </c>
      <c r="K108" s="13" t="s">
        <v>2273</v>
      </c>
      <c r="L108" s="13" t="s">
        <v>2002</v>
      </c>
      <c r="M108" s="14" t="s">
        <v>2270</v>
      </c>
      <c r="N108" s="16" t="s">
        <v>2004</v>
      </c>
      <c r="O108" s="16" t="s">
        <v>2004</v>
      </c>
      <c r="P108" s="17"/>
      <c r="Q108" s="17"/>
      <c r="R108" s="14" t="s">
        <v>2271</v>
      </c>
      <c r="S108" s="17"/>
      <c r="T108" s="17"/>
      <c r="U108" s="16" t="s">
        <v>2006</v>
      </c>
      <c r="V108" s="17"/>
      <c r="W108" s="17"/>
      <c r="X108" s="17"/>
      <c r="Y108" s="17"/>
    </row>
    <row r="109" spans="1:25" ht="13.5" customHeight="1">
      <c r="A109" s="12">
        <v>107</v>
      </c>
      <c r="B109" s="13" t="s">
        <v>53</v>
      </c>
      <c r="C109" s="13" t="s">
        <v>54</v>
      </c>
      <c r="D109" s="13" t="s">
        <v>859</v>
      </c>
      <c r="E109" s="13" t="s">
        <v>892</v>
      </c>
      <c r="F109" s="14" t="s">
        <v>895</v>
      </c>
      <c r="G109" s="14" t="s">
        <v>2274</v>
      </c>
      <c r="H109" s="17"/>
      <c r="I109" s="13" t="s">
        <v>2275</v>
      </c>
      <c r="J109" s="13" t="s">
        <v>894</v>
      </c>
      <c r="K109" s="13" t="s">
        <v>2276</v>
      </c>
      <c r="L109" s="13" t="s">
        <v>2002</v>
      </c>
      <c r="M109" s="14" t="s">
        <v>2277</v>
      </c>
      <c r="N109" s="16" t="s">
        <v>2004</v>
      </c>
      <c r="O109" s="16" t="s">
        <v>2004</v>
      </c>
      <c r="P109" s="17"/>
      <c r="Q109" s="17"/>
      <c r="R109" s="14" t="s">
        <v>899</v>
      </c>
      <c r="S109" s="17"/>
      <c r="T109" s="17"/>
      <c r="U109" s="16" t="s">
        <v>2006</v>
      </c>
      <c r="V109" s="17"/>
      <c r="W109" s="17"/>
      <c r="X109" s="17"/>
      <c r="Y109" s="17"/>
    </row>
    <row r="110" spans="1:25" ht="13.5" customHeight="1">
      <c r="A110" s="12">
        <v>108</v>
      </c>
      <c r="B110" s="13" t="s">
        <v>53</v>
      </c>
      <c r="C110" s="13" t="s">
        <v>54</v>
      </c>
      <c r="D110" s="13" t="s">
        <v>859</v>
      </c>
      <c r="E110" s="13" t="s">
        <v>892</v>
      </c>
      <c r="F110" s="14" t="s">
        <v>895</v>
      </c>
      <c r="G110" s="14" t="s">
        <v>2274</v>
      </c>
      <c r="H110" s="17"/>
      <c r="I110" s="13" t="s">
        <v>2278</v>
      </c>
      <c r="J110" s="13" t="s">
        <v>902</v>
      </c>
      <c r="K110" s="13" t="s">
        <v>2279</v>
      </c>
      <c r="L110" s="13" t="s">
        <v>2002</v>
      </c>
      <c r="M110" s="14" t="s">
        <v>2277</v>
      </c>
      <c r="N110" s="16" t="s">
        <v>2004</v>
      </c>
      <c r="O110" s="16" t="s">
        <v>2004</v>
      </c>
      <c r="P110" s="17"/>
      <c r="Q110" s="17"/>
      <c r="R110" s="14" t="s">
        <v>899</v>
      </c>
      <c r="S110" s="17"/>
      <c r="T110" s="17"/>
      <c r="U110" s="16" t="s">
        <v>2006</v>
      </c>
      <c r="V110" s="17"/>
      <c r="W110" s="17"/>
      <c r="X110" s="17"/>
      <c r="Y110" s="17"/>
    </row>
    <row r="111" spans="1:25" ht="13.5" customHeight="1">
      <c r="A111" s="12">
        <v>109</v>
      </c>
      <c r="B111" s="13" t="s">
        <v>53</v>
      </c>
      <c r="C111" s="13" t="s">
        <v>54</v>
      </c>
      <c r="D111" s="13" t="s">
        <v>859</v>
      </c>
      <c r="E111" s="13" t="s">
        <v>892</v>
      </c>
      <c r="F111" s="14" t="s">
        <v>895</v>
      </c>
      <c r="G111" s="14" t="s">
        <v>2274</v>
      </c>
      <c r="H111" s="17"/>
      <c r="I111" s="13" t="s">
        <v>2280</v>
      </c>
      <c r="J111" s="13" t="s">
        <v>906</v>
      </c>
      <c r="K111" s="13" t="s">
        <v>2281</v>
      </c>
      <c r="L111" s="13" t="s">
        <v>2002</v>
      </c>
      <c r="M111" s="14" t="s">
        <v>2277</v>
      </c>
      <c r="N111" s="16" t="s">
        <v>2004</v>
      </c>
      <c r="O111" s="16" t="s">
        <v>2004</v>
      </c>
      <c r="P111" s="17"/>
      <c r="Q111" s="17"/>
      <c r="R111" s="14" t="s">
        <v>899</v>
      </c>
      <c r="S111" s="17"/>
      <c r="T111" s="17"/>
      <c r="U111" s="16" t="s">
        <v>2006</v>
      </c>
      <c r="V111" s="17"/>
      <c r="W111" s="17"/>
      <c r="X111" s="17"/>
      <c r="Y111" s="17"/>
    </row>
    <row r="112" spans="1:25" ht="13.5" customHeight="1">
      <c r="A112" s="12">
        <v>110</v>
      </c>
      <c r="B112" s="13" t="s">
        <v>87</v>
      </c>
      <c r="C112" s="13" t="s">
        <v>54</v>
      </c>
      <c r="D112" s="13" t="s">
        <v>859</v>
      </c>
      <c r="E112" s="13" t="s">
        <v>892</v>
      </c>
      <c r="F112" s="14" t="s">
        <v>911</v>
      </c>
      <c r="G112" s="14" t="s">
        <v>912</v>
      </c>
      <c r="H112" s="17"/>
      <c r="I112" s="13"/>
      <c r="J112" s="13" t="s">
        <v>910</v>
      </c>
      <c r="K112" s="13" t="s">
        <v>2282</v>
      </c>
      <c r="L112" s="13"/>
      <c r="M112" s="13" t="s">
        <v>2283</v>
      </c>
      <c r="N112" s="16"/>
      <c r="O112" s="16"/>
      <c r="P112" s="17"/>
      <c r="Q112" s="17"/>
      <c r="R112" s="14"/>
      <c r="S112" s="17"/>
      <c r="T112" s="17"/>
      <c r="U112" s="16" t="s">
        <v>2006</v>
      </c>
      <c r="V112" s="17"/>
      <c r="W112" s="17"/>
      <c r="X112" s="17"/>
      <c r="Y112" s="17"/>
    </row>
    <row r="113" spans="1:25" ht="13.5" customHeight="1">
      <c r="A113" s="12">
        <v>111</v>
      </c>
      <c r="B113" s="13" t="s">
        <v>53</v>
      </c>
      <c r="C113" s="13" t="s">
        <v>54</v>
      </c>
      <c r="D113" s="13" t="s">
        <v>859</v>
      </c>
      <c r="E113" s="13" t="s">
        <v>922</v>
      </c>
      <c r="F113" s="14" t="s">
        <v>925</v>
      </c>
      <c r="G113" s="14" t="s">
        <v>926</v>
      </c>
      <c r="H113" s="17"/>
      <c r="I113" s="13" t="s">
        <v>2284</v>
      </c>
      <c r="J113" s="13" t="s">
        <v>924</v>
      </c>
      <c r="K113" s="13" t="s">
        <v>2285</v>
      </c>
      <c r="L113" s="13" t="s">
        <v>2002</v>
      </c>
      <c r="M113" s="14" t="s">
        <v>2286</v>
      </c>
      <c r="N113" s="16" t="s">
        <v>2004</v>
      </c>
      <c r="O113" s="16" t="s">
        <v>2004</v>
      </c>
      <c r="P113" s="17"/>
      <c r="Q113" s="17"/>
      <c r="R113" s="14" t="s">
        <v>2287</v>
      </c>
      <c r="S113" s="17"/>
      <c r="T113" s="17"/>
      <c r="U113" s="16" t="s">
        <v>2006</v>
      </c>
      <c r="V113" s="17"/>
      <c r="W113" s="17"/>
      <c r="X113" s="17"/>
      <c r="Y113" s="17"/>
    </row>
    <row r="114" spans="1:25" ht="13.5" customHeight="1">
      <c r="A114" s="12">
        <v>112</v>
      </c>
      <c r="B114" s="13" t="s">
        <v>53</v>
      </c>
      <c r="C114" s="13" t="s">
        <v>54</v>
      </c>
      <c r="D114" s="13" t="s">
        <v>859</v>
      </c>
      <c r="E114" s="13" t="s">
        <v>922</v>
      </c>
      <c r="F114" s="14" t="s">
        <v>925</v>
      </c>
      <c r="G114" s="14" t="s">
        <v>926</v>
      </c>
      <c r="H114" s="17"/>
      <c r="I114" s="13" t="s">
        <v>2288</v>
      </c>
      <c r="J114" s="13" t="s">
        <v>932</v>
      </c>
      <c r="K114" s="13" t="s">
        <v>2289</v>
      </c>
      <c r="L114" s="13" t="s">
        <v>2002</v>
      </c>
      <c r="M114" s="14" t="s">
        <v>2286</v>
      </c>
      <c r="N114" s="17"/>
      <c r="O114" s="17"/>
      <c r="P114" s="16" t="s">
        <v>2004</v>
      </c>
      <c r="Q114" s="16" t="s">
        <v>2004</v>
      </c>
      <c r="R114" s="14" t="s">
        <v>2287</v>
      </c>
      <c r="S114" s="17"/>
      <c r="T114" s="17"/>
      <c r="U114" s="16" t="s">
        <v>2006</v>
      </c>
      <c r="V114" s="17"/>
      <c r="W114" s="17"/>
      <c r="X114" s="17"/>
      <c r="Y114" s="17"/>
    </row>
    <row r="115" spans="1:25" ht="13.5" customHeight="1">
      <c r="A115" s="12">
        <v>113</v>
      </c>
      <c r="B115" s="13" t="s">
        <v>53</v>
      </c>
      <c r="C115" s="13" t="s">
        <v>54</v>
      </c>
      <c r="D115" s="13" t="s">
        <v>859</v>
      </c>
      <c r="E115" s="13" t="s">
        <v>935</v>
      </c>
      <c r="F115" s="14" t="s">
        <v>938</v>
      </c>
      <c r="G115" s="14" t="s">
        <v>939</v>
      </c>
      <c r="H115" s="17"/>
      <c r="I115" s="13" t="s">
        <v>2290</v>
      </c>
      <c r="J115" s="13" t="s">
        <v>937</v>
      </c>
      <c r="K115" s="13" t="s">
        <v>2291</v>
      </c>
      <c r="L115" s="13" t="s">
        <v>2002</v>
      </c>
      <c r="M115" s="14" t="s">
        <v>941</v>
      </c>
      <c r="N115" s="17"/>
      <c r="O115" s="17"/>
      <c r="P115" s="16" t="s">
        <v>2004</v>
      </c>
      <c r="Q115" s="16" t="s">
        <v>2004</v>
      </c>
      <c r="R115" s="14" t="s">
        <v>2292</v>
      </c>
      <c r="S115" s="17"/>
      <c r="T115" s="17"/>
      <c r="U115" s="16" t="s">
        <v>2006</v>
      </c>
      <c r="V115" s="17"/>
      <c r="W115" s="17"/>
      <c r="X115" s="17"/>
      <c r="Y115" s="17"/>
    </row>
    <row r="116" spans="1:25" ht="13.5" customHeight="1">
      <c r="A116" s="12">
        <v>114</v>
      </c>
      <c r="B116" s="13" t="s">
        <v>87</v>
      </c>
      <c r="C116" s="13" t="s">
        <v>54</v>
      </c>
      <c r="D116" s="13" t="s">
        <v>859</v>
      </c>
      <c r="E116" s="13" t="s">
        <v>935</v>
      </c>
      <c r="F116" s="14" t="s">
        <v>959</v>
      </c>
      <c r="G116" s="14" t="s">
        <v>960</v>
      </c>
      <c r="H116" s="17"/>
      <c r="I116" s="13" t="s">
        <v>2290</v>
      </c>
      <c r="J116" s="13" t="s">
        <v>958</v>
      </c>
      <c r="K116" s="13" t="s">
        <v>2293</v>
      </c>
      <c r="L116" s="13" t="s">
        <v>2002</v>
      </c>
      <c r="M116" s="14" t="s">
        <v>2294</v>
      </c>
      <c r="N116" s="17"/>
      <c r="O116" s="17"/>
      <c r="P116" s="16"/>
      <c r="Q116" s="16"/>
      <c r="R116" s="14"/>
      <c r="S116" s="17"/>
      <c r="T116" s="17"/>
      <c r="U116" s="16" t="s">
        <v>2006</v>
      </c>
      <c r="V116" s="17"/>
      <c r="W116" s="17"/>
      <c r="X116" s="17"/>
      <c r="Y116" s="17"/>
    </row>
    <row r="117" spans="1:25" ht="13.5" customHeight="1">
      <c r="A117" s="12">
        <v>115</v>
      </c>
      <c r="B117" s="13" t="s">
        <v>53</v>
      </c>
      <c r="C117" s="13" t="s">
        <v>54</v>
      </c>
      <c r="D117" s="13" t="s">
        <v>859</v>
      </c>
      <c r="E117" s="13" t="s">
        <v>935</v>
      </c>
      <c r="F117" s="14" t="s">
        <v>938</v>
      </c>
      <c r="G117" s="14" t="s">
        <v>939</v>
      </c>
      <c r="H117" s="17"/>
      <c r="I117" s="13" t="s">
        <v>2295</v>
      </c>
      <c r="J117" s="13" t="s">
        <v>971</v>
      </c>
      <c r="K117" s="13" t="s">
        <v>2296</v>
      </c>
      <c r="L117" s="13" t="s">
        <v>2002</v>
      </c>
      <c r="M117" s="14" t="s">
        <v>941</v>
      </c>
      <c r="N117" s="16" t="s">
        <v>2004</v>
      </c>
      <c r="O117" s="16" t="s">
        <v>2004</v>
      </c>
      <c r="P117" s="17"/>
      <c r="Q117" s="17"/>
      <c r="R117" s="14" t="s">
        <v>2292</v>
      </c>
      <c r="S117" s="17"/>
      <c r="T117" s="17"/>
      <c r="U117" s="16" t="s">
        <v>2006</v>
      </c>
      <c r="V117" s="17"/>
      <c r="W117" s="17"/>
      <c r="X117" s="17"/>
      <c r="Y117" s="17"/>
    </row>
    <row r="118" spans="1:25" ht="13.5" customHeight="1">
      <c r="A118" s="12">
        <v>116</v>
      </c>
      <c r="B118" s="13" t="s">
        <v>53</v>
      </c>
      <c r="C118" s="13" t="s">
        <v>54</v>
      </c>
      <c r="D118" s="13" t="s">
        <v>859</v>
      </c>
      <c r="E118" s="13" t="s">
        <v>935</v>
      </c>
      <c r="F118" s="14" t="s">
        <v>938</v>
      </c>
      <c r="G118" s="14" t="s">
        <v>939</v>
      </c>
      <c r="H118" s="17"/>
      <c r="I118" s="13" t="s">
        <v>2297</v>
      </c>
      <c r="J118" s="13" t="s">
        <v>975</v>
      </c>
      <c r="K118" s="13" t="s">
        <v>2298</v>
      </c>
      <c r="L118" s="13" t="s">
        <v>2002</v>
      </c>
      <c r="M118" s="14" t="s">
        <v>941</v>
      </c>
      <c r="N118" s="17"/>
      <c r="O118" s="16" t="s">
        <v>2004</v>
      </c>
      <c r="P118" s="17"/>
      <c r="Q118" s="17"/>
      <c r="R118" s="14" t="s">
        <v>2292</v>
      </c>
      <c r="S118" s="17"/>
      <c r="T118" s="17"/>
      <c r="U118" s="16" t="s">
        <v>2006</v>
      </c>
      <c r="V118" s="17"/>
      <c r="W118" s="17"/>
      <c r="X118" s="17"/>
      <c r="Y118" s="17"/>
    </row>
    <row r="119" spans="1:25" ht="13.5" customHeight="1">
      <c r="A119" s="12">
        <v>117</v>
      </c>
      <c r="B119" s="13" t="s">
        <v>53</v>
      </c>
      <c r="C119" s="13" t="s">
        <v>54</v>
      </c>
      <c r="D119" s="13" t="s">
        <v>859</v>
      </c>
      <c r="E119" s="13" t="s">
        <v>935</v>
      </c>
      <c r="F119" s="14" t="s">
        <v>938</v>
      </c>
      <c r="G119" s="14" t="s">
        <v>939</v>
      </c>
      <c r="H119" s="17"/>
      <c r="I119" s="13" t="s">
        <v>2299</v>
      </c>
      <c r="J119" s="13" t="s">
        <v>979</v>
      </c>
      <c r="K119" s="13" t="s">
        <v>2300</v>
      </c>
      <c r="L119" s="13" t="s">
        <v>2002</v>
      </c>
      <c r="M119" s="14" t="s">
        <v>941</v>
      </c>
      <c r="N119" s="17"/>
      <c r="O119" s="17"/>
      <c r="P119" s="16" t="s">
        <v>2004</v>
      </c>
      <c r="Q119" s="16" t="s">
        <v>2004</v>
      </c>
      <c r="R119" s="14" t="s">
        <v>2292</v>
      </c>
      <c r="S119" s="17"/>
      <c r="T119" s="17"/>
      <c r="U119" s="16" t="s">
        <v>2006</v>
      </c>
      <c r="V119" s="17"/>
      <c r="W119" s="17"/>
      <c r="X119" s="17"/>
      <c r="Y119" s="17"/>
    </row>
    <row r="120" spans="1:25" ht="13.5" customHeight="1">
      <c r="A120" s="12">
        <v>118</v>
      </c>
      <c r="B120" s="13" t="s">
        <v>53</v>
      </c>
      <c r="C120" s="13" t="s">
        <v>54</v>
      </c>
      <c r="D120" s="13" t="s">
        <v>859</v>
      </c>
      <c r="E120" s="13" t="s">
        <v>935</v>
      </c>
      <c r="F120" s="14" t="s">
        <v>938</v>
      </c>
      <c r="G120" s="14" t="s">
        <v>939</v>
      </c>
      <c r="H120" s="17"/>
      <c r="I120" s="13" t="s">
        <v>2301</v>
      </c>
      <c r="J120" s="13" t="s">
        <v>983</v>
      </c>
      <c r="K120" s="13" t="s">
        <v>2302</v>
      </c>
      <c r="L120" s="13" t="s">
        <v>2002</v>
      </c>
      <c r="M120" s="14" t="s">
        <v>941</v>
      </c>
      <c r="N120" s="17"/>
      <c r="O120" s="17"/>
      <c r="P120" s="16" t="s">
        <v>2004</v>
      </c>
      <c r="Q120" s="16" t="s">
        <v>2004</v>
      </c>
      <c r="R120" s="14" t="s">
        <v>2292</v>
      </c>
      <c r="S120" s="17"/>
      <c r="T120" s="17"/>
      <c r="U120" s="16" t="s">
        <v>2006</v>
      </c>
      <c r="V120" s="17"/>
      <c r="W120" s="17"/>
      <c r="X120" s="17"/>
      <c r="Y120" s="17"/>
    </row>
    <row r="121" spans="1:25" ht="13.5" customHeight="1">
      <c r="A121" s="12">
        <v>119</v>
      </c>
      <c r="B121" s="13" t="s">
        <v>53</v>
      </c>
      <c r="C121" s="13" t="s">
        <v>54</v>
      </c>
      <c r="D121" s="13" t="s">
        <v>859</v>
      </c>
      <c r="E121" s="13" t="s">
        <v>935</v>
      </c>
      <c r="F121" s="14" t="s">
        <v>938</v>
      </c>
      <c r="G121" s="14" t="s">
        <v>939</v>
      </c>
      <c r="H121" s="17"/>
      <c r="I121" s="13" t="s">
        <v>2303</v>
      </c>
      <c r="J121" s="13" t="s">
        <v>987</v>
      </c>
      <c r="K121" s="13" t="s">
        <v>2304</v>
      </c>
      <c r="L121" s="13" t="s">
        <v>2002</v>
      </c>
      <c r="M121" s="14" t="s">
        <v>941</v>
      </c>
      <c r="N121" s="17"/>
      <c r="O121" s="17"/>
      <c r="P121" s="16" t="s">
        <v>2004</v>
      </c>
      <c r="Q121" s="16" t="s">
        <v>2004</v>
      </c>
      <c r="R121" s="14" t="s">
        <v>2292</v>
      </c>
      <c r="S121" s="17"/>
      <c r="T121" s="17"/>
      <c r="U121" s="16" t="s">
        <v>2006</v>
      </c>
      <c r="V121" s="17"/>
      <c r="W121" s="17"/>
      <c r="X121" s="17"/>
      <c r="Y121" s="17"/>
    </row>
    <row r="122" spans="1:25" ht="13.5" customHeight="1">
      <c r="A122" s="12">
        <v>120</v>
      </c>
      <c r="B122" s="13" t="s">
        <v>53</v>
      </c>
      <c r="C122" s="13" t="s">
        <v>54</v>
      </c>
      <c r="D122" s="13" t="s">
        <v>859</v>
      </c>
      <c r="E122" s="13" t="s">
        <v>935</v>
      </c>
      <c r="F122" s="14" t="s">
        <v>938</v>
      </c>
      <c r="G122" s="14" t="s">
        <v>939</v>
      </c>
      <c r="H122" s="17"/>
      <c r="I122" s="13" t="s">
        <v>2305</v>
      </c>
      <c r="J122" s="13" t="s">
        <v>991</v>
      </c>
      <c r="K122" s="13" t="s">
        <v>2306</v>
      </c>
      <c r="L122" s="13" t="s">
        <v>2002</v>
      </c>
      <c r="M122" s="14" t="s">
        <v>941</v>
      </c>
      <c r="N122" s="17"/>
      <c r="O122" s="17"/>
      <c r="P122" s="16" t="s">
        <v>2004</v>
      </c>
      <c r="Q122" s="16" t="s">
        <v>2004</v>
      </c>
      <c r="R122" s="14" t="s">
        <v>2292</v>
      </c>
      <c r="S122" s="17"/>
      <c r="T122" s="17"/>
      <c r="U122" s="16" t="s">
        <v>2006</v>
      </c>
      <c r="V122" s="17"/>
      <c r="W122" s="17"/>
      <c r="X122" s="17"/>
      <c r="Y122" s="17"/>
    </row>
    <row r="123" spans="1:25" ht="13.5" customHeight="1">
      <c r="A123" s="12">
        <v>121</v>
      </c>
      <c r="B123" s="13" t="s">
        <v>53</v>
      </c>
      <c r="C123" s="13" t="s">
        <v>54</v>
      </c>
      <c r="D123" s="13" t="s">
        <v>994</v>
      </c>
      <c r="E123" s="13" t="s">
        <v>995</v>
      </c>
      <c r="F123" s="14" t="s">
        <v>998</v>
      </c>
      <c r="G123" s="14" t="s">
        <v>999</v>
      </c>
      <c r="H123" s="17"/>
      <c r="I123" s="13" t="s">
        <v>2307</v>
      </c>
      <c r="J123" s="13" t="s">
        <v>997</v>
      </c>
      <c r="K123" s="13" t="s">
        <v>2308</v>
      </c>
      <c r="L123" s="13" t="s">
        <v>2002</v>
      </c>
      <c r="M123" s="14" t="s">
        <v>2309</v>
      </c>
      <c r="N123" s="17"/>
      <c r="O123" s="17"/>
      <c r="P123" s="16" t="s">
        <v>2004</v>
      </c>
      <c r="Q123" s="16" t="s">
        <v>2004</v>
      </c>
      <c r="R123" s="14" t="s">
        <v>2310</v>
      </c>
      <c r="S123" s="17"/>
      <c r="T123" s="17"/>
      <c r="U123" s="16" t="s">
        <v>2006</v>
      </c>
      <c r="V123" s="17"/>
      <c r="W123" s="17"/>
      <c r="X123" s="17"/>
      <c r="Y123" s="17"/>
    </row>
    <row r="124" spans="1:25" ht="13.5" customHeight="1">
      <c r="A124" s="12">
        <v>122</v>
      </c>
      <c r="B124" s="13" t="s">
        <v>53</v>
      </c>
      <c r="C124" s="13" t="s">
        <v>54</v>
      </c>
      <c r="D124" s="13" t="s">
        <v>994</v>
      </c>
      <c r="E124" s="13" t="s">
        <v>995</v>
      </c>
      <c r="F124" s="14" t="s">
        <v>998</v>
      </c>
      <c r="G124" s="14" t="s">
        <v>999</v>
      </c>
      <c r="H124" s="17"/>
      <c r="I124" s="13" t="s">
        <v>2311</v>
      </c>
      <c r="J124" s="13" t="s">
        <v>1005</v>
      </c>
      <c r="K124" s="13" t="s">
        <v>2312</v>
      </c>
      <c r="L124" s="13" t="s">
        <v>2002</v>
      </c>
      <c r="M124" s="14" t="s">
        <v>2309</v>
      </c>
      <c r="N124" s="17"/>
      <c r="O124" s="17"/>
      <c r="P124" s="16" t="s">
        <v>2004</v>
      </c>
      <c r="Q124" s="16" t="s">
        <v>2004</v>
      </c>
      <c r="R124" s="14" t="s">
        <v>2310</v>
      </c>
      <c r="S124" s="17"/>
      <c r="T124" s="17"/>
      <c r="U124" s="16" t="s">
        <v>2006</v>
      </c>
      <c r="V124" s="17"/>
      <c r="W124" s="17"/>
      <c r="X124" s="17"/>
      <c r="Y124" s="17"/>
    </row>
    <row r="125" spans="1:25" ht="13.5" customHeight="1">
      <c r="A125" s="12">
        <v>123</v>
      </c>
      <c r="B125" s="13" t="s">
        <v>53</v>
      </c>
      <c r="C125" s="13" t="s">
        <v>54</v>
      </c>
      <c r="D125" s="13" t="s">
        <v>994</v>
      </c>
      <c r="E125" s="13" t="s">
        <v>995</v>
      </c>
      <c r="F125" s="14" t="s">
        <v>998</v>
      </c>
      <c r="G125" s="14" t="s">
        <v>999</v>
      </c>
      <c r="H125" s="17"/>
      <c r="I125" s="13" t="s">
        <v>2313</v>
      </c>
      <c r="J125" s="13" t="s">
        <v>1009</v>
      </c>
      <c r="K125" s="13" t="s">
        <v>2314</v>
      </c>
      <c r="L125" s="13" t="s">
        <v>2002</v>
      </c>
      <c r="M125" s="14" t="s">
        <v>2309</v>
      </c>
      <c r="N125" s="17"/>
      <c r="O125" s="17"/>
      <c r="P125" s="16" t="s">
        <v>2004</v>
      </c>
      <c r="Q125" s="16" t="s">
        <v>2004</v>
      </c>
      <c r="R125" s="14" t="s">
        <v>2310</v>
      </c>
      <c r="S125" s="17"/>
      <c r="T125" s="17"/>
      <c r="U125" s="16" t="s">
        <v>2006</v>
      </c>
      <c r="V125" s="17"/>
      <c r="W125" s="17"/>
      <c r="X125" s="17"/>
      <c r="Y125" s="17"/>
    </row>
    <row r="126" spans="1:25" ht="13.5" customHeight="1">
      <c r="A126" s="12">
        <v>124</v>
      </c>
      <c r="B126" s="13" t="s">
        <v>53</v>
      </c>
      <c r="C126" s="13" t="s">
        <v>54</v>
      </c>
      <c r="D126" s="13" t="s">
        <v>994</v>
      </c>
      <c r="E126" s="13" t="s">
        <v>1012</v>
      </c>
      <c r="F126" s="14" t="s">
        <v>1015</v>
      </c>
      <c r="G126" s="14" t="s">
        <v>1016</v>
      </c>
      <c r="H126" s="17"/>
      <c r="I126" s="13" t="s">
        <v>2315</v>
      </c>
      <c r="J126" s="13" t="s">
        <v>1014</v>
      </c>
      <c r="K126" s="13" t="s">
        <v>2316</v>
      </c>
      <c r="L126" s="13" t="s">
        <v>2002</v>
      </c>
      <c r="M126" s="14" t="s">
        <v>1018</v>
      </c>
      <c r="N126" s="16" t="s">
        <v>2004</v>
      </c>
      <c r="O126" s="16" t="s">
        <v>2004</v>
      </c>
      <c r="P126" s="17"/>
      <c r="Q126" s="17"/>
      <c r="R126" s="14" t="s">
        <v>2317</v>
      </c>
      <c r="S126" s="17"/>
      <c r="T126" s="17"/>
      <c r="U126" s="16" t="s">
        <v>2006</v>
      </c>
      <c r="V126" s="17"/>
      <c r="W126" s="17"/>
      <c r="X126" s="17"/>
      <c r="Y126" s="17"/>
    </row>
    <row r="127" spans="1:25" ht="13.5" customHeight="1">
      <c r="A127" s="12">
        <v>125</v>
      </c>
      <c r="B127" s="13" t="s">
        <v>53</v>
      </c>
      <c r="C127" s="13" t="s">
        <v>54</v>
      </c>
      <c r="D127" s="13" t="s">
        <v>994</v>
      </c>
      <c r="E127" s="13" t="s">
        <v>1012</v>
      </c>
      <c r="F127" s="14" t="s">
        <v>1015</v>
      </c>
      <c r="G127" s="14" t="s">
        <v>1016</v>
      </c>
      <c r="H127" s="17"/>
      <c r="I127" s="13" t="s">
        <v>2318</v>
      </c>
      <c r="J127" s="13" t="s">
        <v>1022</v>
      </c>
      <c r="K127" s="13" t="s">
        <v>2319</v>
      </c>
      <c r="L127" s="13" t="s">
        <v>2002</v>
      </c>
      <c r="M127" s="14" t="s">
        <v>1018</v>
      </c>
      <c r="N127" s="16" t="s">
        <v>2004</v>
      </c>
      <c r="O127" s="16" t="s">
        <v>2004</v>
      </c>
      <c r="P127" s="17"/>
      <c r="Q127" s="17"/>
      <c r="R127" s="14" t="s">
        <v>2317</v>
      </c>
      <c r="S127" s="17"/>
      <c r="T127" s="17"/>
      <c r="U127" s="16" t="s">
        <v>2006</v>
      </c>
      <c r="V127" s="17"/>
      <c r="W127" s="17"/>
      <c r="X127" s="17"/>
      <c r="Y127" s="17"/>
    </row>
    <row r="128" spans="1:25" ht="13.5" customHeight="1">
      <c r="A128" s="12">
        <v>126</v>
      </c>
      <c r="B128" s="13" t="s">
        <v>53</v>
      </c>
      <c r="C128" s="13" t="s">
        <v>54</v>
      </c>
      <c r="D128" s="13" t="s">
        <v>994</v>
      </c>
      <c r="E128" s="13" t="s">
        <v>1025</v>
      </c>
      <c r="F128" s="14" t="s">
        <v>1028</v>
      </c>
      <c r="G128" s="14" t="s">
        <v>1029</v>
      </c>
      <c r="H128" s="17"/>
      <c r="I128" s="13" t="s">
        <v>2320</v>
      </c>
      <c r="J128" s="13" t="s">
        <v>1027</v>
      </c>
      <c r="K128" s="13" t="s">
        <v>2321</v>
      </c>
      <c r="L128" s="13" t="s">
        <v>2002</v>
      </c>
      <c r="M128" s="14" t="s">
        <v>1031</v>
      </c>
      <c r="N128" s="17"/>
      <c r="O128" s="17"/>
      <c r="P128" s="16" t="s">
        <v>2004</v>
      </c>
      <c r="Q128" s="17"/>
      <c r="R128" s="14" t="s">
        <v>2322</v>
      </c>
      <c r="S128" s="17"/>
      <c r="T128" s="17"/>
      <c r="U128" s="16" t="s">
        <v>2006</v>
      </c>
      <c r="V128" s="17"/>
      <c r="W128" s="17"/>
      <c r="X128" s="17"/>
      <c r="Y128" s="17"/>
    </row>
    <row r="129" spans="1:25" ht="13.5" customHeight="1">
      <c r="A129" s="12">
        <v>127</v>
      </c>
      <c r="B129" s="13" t="s">
        <v>53</v>
      </c>
      <c r="C129" s="13" t="s">
        <v>54</v>
      </c>
      <c r="D129" s="13" t="s">
        <v>994</v>
      </c>
      <c r="E129" s="13" t="s">
        <v>1025</v>
      </c>
      <c r="F129" s="14" t="s">
        <v>1028</v>
      </c>
      <c r="G129" s="14" t="s">
        <v>1029</v>
      </c>
      <c r="H129" s="17"/>
      <c r="I129" s="13" t="s">
        <v>2323</v>
      </c>
      <c r="J129" s="13" t="s">
        <v>1036</v>
      </c>
      <c r="K129" s="13" t="s">
        <v>2324</v>
      </c>
      <c r="L129" s="13" t="s">
        <v>2002</v>
      </c>
      <c r="M129" s="14" t="s">
        <v>1031</v>
      </c>
      <c r="N129" s="16" t="s">
        <v>2004</v>
      </c>
      <c r="O129" s="16" t="s">
        <v>2004</v>
      </c>
      <c r="P129" s="16" t="s">
        <v>2004</v>
      </c>
      <c r="Q129" s="16" t="s">
        <v>2004</v>
      </c>
      <c r="R129" s="14" t="s">
        <v>2322</v>
      </c>
      <c r="S129" s="17"/>
      <c r="T129" s="17"/>
      <c r="U129" s="16" t="s">
        <v>2006</v>
      </c>
      <c r="V129" s="17"/>
      <c r="W129" s="17"/>
      <c r="X129" s="17"/>
      <c r="Y129" s="17"/>
    </row>
    <row r="130" spans="1:25" ht="13.5" customHeight="1">
      <c r="A130" s="12">
        <v>128</v>
      </c>
      <c r="B130" s="13" t="s">
        <v>53</v>
      </c>
      <c r="C130" s="13" t="s">
        <v>54</v>
      </c>
      <c r="D130" s="13" t="s">
        <v>994</v>
      </c>
      <c r="E130" s="13" t="s">
        <v>1040</v>
      </c>
      <c r="F130" s="14" t="s">
        <v>1043</v>
      </c>
      <c r="G130" s="14" t="s">
        <v>1044</v>
      </c>
      <c r="H130" s="17"/>
      <c r="I130" s="13" t="s">
        <v>2325</v>
      </c>
      <c r="J130" s="13" t="s">
        <v>1042</v>
      </c>
      <c r="K130" s="13" t="s">
        <v>2326</v>
      </c>
      <c r="L130" s="13" t="s">
        <v>2002</v>
      </c>
      <c r="M130" s="14" t="s">
        <v>1046</v>
      </c>
      <c r="N130" s="17"/>
      <c r="O130" s="17"/>
      <c r="P130" s="16" t="s">
        <v>2004</v>
      </c>
      <c r="Q130" s="16" t="s">
        <v>2004</v>
      </c>
      <c r="R130" s="14" t="s">
        <v>2327</v>
      </c>
      <c r="S130" s="17"/>
      <c r="T130" s="17"/>
      <c r="U130" s="16" t="s">
        <v>2006</v>
      </c>
      <c r="V130" s="17"/>
      <c r="W130" s="17"/>
      <c r="X130" s="17"/>
      <c r="Y130" s="17"/>
    </row>
    <row r="131" spans="1:25" ht="13.5" customHeight="1">
      <c r="A131" s="12">
        <v>129</v>
      </c>
      <c r="B131" s="13" t="s">
        <v>53</v>
      </c>
      <c r="C131" s="13" t="s">
        <v>54</v>
      </c>
      <c r="D131" s="13" t="s">
        <v>994</v>
      </c>
      <c r="E131" s="13" t="s">
        <v>1040</v>
      </c>
      <c r="F131" s="14" t="s">
        <v>1043</v>
      </c>
      <c r="G131" s="14" t="s">
        <v>1044</v>
      </c>
      <c r="H131" s="17"/>
      <c r="I131" s="13" t="s">
        <v>2328</v>
      </c>
      <c r="J131" s="13" t="s">
        <v>1050</v>
      </c>
      <c r="K131" s="13" t="s">
        <v>2329</v>
      </c>
      <c r="L131" s="13" t="s">
        <v>2002</v>
      </c>
      <c r="M131" s="14" t="s">
        <v>1046</v>
      </c>
      <c r="N131" s="17"/>
      <c r="O131" s="17"/>
      <c r="P131" s="16" t="s">
        <v>2004</v>
      </c>
      <c r="Q131" s="17"/>
      <c r="R131" s="14" t="s">
        <v>2327</v>
      </c>
      <c r="S131" s="17"/>
      <c r="T131" s="17"/>
      <c r="U131" s="16" t="s">
        <v>2006</v>
      </c>
      <c r="V131" s="17"/>
      <c r="W131" s="17"/>
      <c r="X131" s="17"/>
      <c r="Y131" s="17"/>
    </row>
    <row r="132" spans="1:25" ht="13.5" customHeight="1">
      <c r="A132" s="12">
        <v>130</v>
      </c>
      <c r="B132" s="13" t="s">
        <v>53</v>
      </c>
      <c r="C132" s="13" t="s">
        <v>54</v>
      </c>
      <c r="D132" s="13" t="s">
        <v>994</v>
      </c>
      <c r="E132" s="13" t="s">
        <v>1040</v>
      </c>
      <c r="F132" s="14" t="s">
        <v>1043</v>
      </c>
      <c r="G132" s="14" t="s">
        <v>1044</v>
      </c>
      <c r="H132" s="17"/>
      <c r="I132" s="13" t="s">
        <v>2330</v>
      </c>
      <c r="J132" s="13" t="s">
        <v>1054</v>
      </c>
      <c r="K132" s="13" t="s">
        <v>2331</v>
      </c>
      <c r="L132" s="13" t="s">
        <v>2002</v>
      </c>
      <c r="M132" s="14" t="s">
        <v>1046</v>
      </c>
      <c r="N132" s="17"/>
      <c r="O132" s="17"/>
      <c r="P132" s="16" t="s">
        <v>2004</v>
      </c>
      <c r="Q132" s="17"/>
      <c r="R132" s="14" t="s">
        <v>2327</v>
      </c>
      <c r="S132" s="17"/>
      <c r="T132" s="17"/>
      <c r="U132" s="16" t="s">
        <v>2006</v>
      </c>
      <c r="V132" s="17"/>
      <c r="W132" s="17"/>
      <c r="X132" s="17"/>
      <c r="Y132" s="17"/>
    </row>
    <row r="133" spans="1:25" ht="13.5" customHeight="1">
      <c r="A133" s="12">
        <v>131</v>
      </c>
      <c r="B133" s="13" t="s">
        <v>53</v>
      </c>
      <c r="C133" s="13" t="s">
        <v>54</v>
      </c>
      <c r="D133" s="13" t="s">
        <v>994</v>
      </c>
      <c r="E133" s="13" t="s">
        <v>1040</v>
      </c>
      <c r="F133" s="14" t="s">
        <v>1043</v>
      </c>
      <c r="G133" s="14" t="s">
        <v>1044</v>
      </c>
      <c r="H133" s="17"/>
      <c r="I133" s="13" t="s">
        <v>2332</v>
      </c>
      <c r="J133" s="13" t="s">
        <v>1058</v>
      </c>
      <c r="K133" s="13" t="s">
        <v>2333</v>
      </c>
      <c r="L133" s="13" t="s">
        <v>2002</v>
      </c>
      <c r="M133" s="14" t="s">
        <v>1046</v>
      </c>
      <c r="N133" s="17"/>
      <c r="O133" s="17"/>
      <c r="P133" s="16" t="s">
        <v>2004</v>
      </c>
      <c r="Q133" s="17"/>
      <c r="R133" s="14" t="s">
        <v>2327</v>
      </c>
      <c r="S133" s="17"/>
      <c r="T133" s="17"/>
      <c r="U133" s="16" t="s">
        <v>2006</v>
      </c>
      <c r="V133" s="17"/>
      <c r="W133" s="17"/>
      <c r="X133" s="17"/>
      <c r="Y133" s="17"/>
    </row>
    <row r="134" spans="1:25" ht="13.5" customHeight="1">
      <c r="A134" s="12">
        <v>132</v>
      </c>
      <c r="B134" s="13" t="s">
        <v>53</v>
      </c>
      <c r="C134" s="13" t="s">
        <v>54</v>
      </c>
      <c r="D134" s="13" t="s">
        <v>1061</v>
      </c>
      <c r="E134" s="13" t="s">
        <v>1062</v>
      </c>
      <c r="F134" s="14" t="s">
        <v>1065</v>
      </c>
      <c r="G134" s="14" t="s">
        <v>1066</v>
      </c>
      <c r="H134" s="17"/>
      <c r="I134" s="13" t="s">
        <v>2334</v>
      </c>
      <c r="J134" s="13" t="s">
        <v>1064</v>
      </c>
      <c r="K134" s="13" t="s">
        <v>2335</v>
      </c>
      <c r="L134" s="13" t="s">
        <v>2002</v>
      </c>
      <c r="M134" s="14" t="s">
        <v>1068</v>
      </c>
      <c r="N134" s="16" t="s">
        <v>2004</v>
      </c>
      <c r="O134" s="16" t="s">
        <v>2004</v>
      </c>
      <c r="P134" s="16" t="s">
        <v>2004</v>
      </c>
      <c r="Q134" s="16" t="s">
        <v>2004</v>
      </c>
      <c r="R134" s="14" t="s">
        <v>2336</v>
      </c>
      <c r="S134" s="17"/>
      <c r="T134" s="17"/>
      <c r="U134" s="16" t="s">
        <v>2006</v>
      </c>
      <c r="V134" s="17"/>
      <c r="W134" s="17"/>
      <c r="X134" s="17"/>
      <c r="Y134" s="17"/>
    </row>
    <row r="135" spans="1:25" ht="13.5" customHeight="1">
      <c r="A135" s="12">
        <v>133</v>
      </c>
      <c r="B135" s="13" t="s">
        <v>53</v>
      </c>
      <c r="C135" s="13" t="s">
        <v>54</v>
      </c>
      <c r="D135" s="13" t="s">
        <v>1061</v>
      </c>
      <c r="E135" s="13" t="s">
        <v>1062</v>
      </c>
      <c r="F135" s="14" t="s">
        <v>1065</v>
      </c>
      <c r="G135" s="14" t="s">
        <v>1066</v>
      </c>
      <c r="H135" s="17"/>
      <c r="I135" s="13" t="s">
        <v>2337</v>
      </c>
      <c r="J135" s="13" t="s">
        <v>1084</v>
      </c>
      <c r="K135" s="13" t="s">
        <v>2338</v>
      </c>
      <c r="L135" s="13" t="s">
        <v>2002</v>
      </c>
      <c r="M135" s="14" t="s">
        <v>1068</v>
      </c>
      <c r="N135" s="17"/>
      <c r="O135" s="17"/>
      <c r="P135" s="16" t="s">
        <v>2004</v>
      </c>
      <c r="Q135" s="16" t="s">
        <v>2004</v>
      </c>
      <c r="R135" s="14" t="s">
        <v>2336</v>
      </c>
      <c r="S135" s="17"/>
      <c r="T135" s="17"/>
      <c r="U135" s="16" t="s">
        <v>2006</v>
      </c>
      <c r="V135" s="17"/>
      <c r="W135" s="17"/>
      <c r="X135" s="17"/>
      <c r="Y135" s="17"/>
    </row>
    <row r="136" spans="1:25" ht="13.5" customHeight="1">
      <c r="A136" s="12">
        <v>134</v>
      </c>
      <c r="B136" s="13" t="s">
        <v>53</v>
      </c>
      <c r="C136" s="13" t="s">
        <v>54</v>
      </c>
      <c r="D136" s="13" t="s">
        <v>1061</v>
      </c>
      <c r="E136" s="13" t="s">
        <v>1062</v>
      </c>
      <c r="F136" s="14" t="s">
        <v>1065</v>
      </c>
      <c r="G136" s="14" t="s">
        <v>1066</v>
      </c>
      <c r="H136" s="17"/>
      <c r="I136" s="13" t="s">
        <v>2339</v>
      </c>
      <c r="J136" s="13" t="s">
        <v>1088</v>
      </c>
      <c r="K136" s="13" t="s">
        <v>2340</v>
      </c>
      <c r="L136" s="13" t="s">
        <v>2002</v>
      </c>
      <c r="M136" s="14" t="s">
        <v>1068</v>
      </c>
      <c r="N136" s="16" t="s">
        <v>2004</v>
      </c>
      <c r="O136" s="16" t="s">
        <v>2004</v>
      </c>
      <c r="P136" s="16" t="s">
        <v>2004</v>
      </c>
      <c r="Q136" s="16" t="s">
        <v>2004</v>
      </c>
      <c r="R136" s="14" t="s">
        <v>2336</v>
      </c>
      <c r="S136" s="17"/>
      <c r="T136" s="17"/>
      <c r="U136" s="16" t="s">
        <v>2006</v>
      </c>
      <c r="V136" s="17"/>
      <c r="W136" s="17"/>
      <c r="X136" s="17"/>
      <c r="Y136" s="17"/>
    </row>
    <row r="137" spans="1:25" ht="13.5" customHeight="1">
      <c r="A137" s="12">
        <v>135</v>
      </c>
      <c r="B137" s="13" t="s">
        <v>53</v>
      </c>
      <c r="C137" s="13" t="s">
        <v>54</v>
      </c>
      <c r="D137" s="13" t="s">
        <v>1061</v>
      </c>
      <c r="E137" s="13" t="s">
        <v>1062</v>
      </c>
      <c r="F137" s="14" t="s">
        <v>1065</v>
      </c>
      <c r="G137" s="14" t="s">
        <v>1066</v>
      </c>
      <c r="H137" s="17"/>
      <c r="I137" s="13" t="s">
        <v>2341</v>
      </c>
      <c r="J137" s="13" t="s">
        <v>1092</v>
      </c>
      <c r="K137" s="13" t="s">
        <v>2342</v>
      </c>
      <c r="L137" s="13" t="s">
        <v>2002</v>
      </c>
      <c r="M137" s="14" t="s">
        <v>1068</v>
      </c>
      <c r="N137" s="17"/>
      <c r="O137" s="17"/>
      <c r="P137" s="16" t="s">
        <v>2004</v>
      </c>
      <c r="Q137" s="16" t="s">
        <v>2004</v>
      </c>
      <c r="R137" s="14" t="s">
        <v>2336</v>
      </c>
      <c r="S137" s="17"/>
      <c r="T137" s="17"/>
      <c r="U137" s="16" t="s">
        <v>2006</v>
      </c>
      <c r="V137" s="17"/>
      <c r="W137" s="17"/>
      <c r="X137" s="17"/>
      <c r="Y137" s="17"/>
    </row>
    <row r="138" spans="1:25" ht="13.5" customHeight="1">
      <c r="A138" s="12">
        <v>136</v>
      </c>
      <c r="B138" s="13" t="s">
        <v>87</v>
      </c>
      <c r="C138" s="13" t="s">
        <v>54</v>
      </c>
      <c r="D138" s="13" t="s">
        <v>1061</v>
      </c>
      <c r="E138" s="13" t="s">
        <v>1062</v>
      </c>
      <c r="F138" s="14" t="s">
        <v>1097</v>
      </c>
      <c r="G138" s="14" t="s">
        <v>1098</v>
      </c>
      <c r="H138" s="17"/>
      <c r="I138" s="13"/>
      <c r="J138" s="13" t="s">
        <v>1096</v>
      </c>
      <c r="K138" s="13" t="s">
        <v>2343</v>
      </c>
      <c r="L138" s="13"/>
      <c r="M138" s="14" t="s">
        <v>2344</v>
      </c>
      <c r="N138" s="17"/>
      <c r="O138" s="17"/>
      <c r="P138" s="16"/>
      <c r="Q138" s="16"/>
      <c r="R138" s="14"/>
      <c r="S138" s="17"/>
      <c r="T138" s="17"/>
      <c r="U138" s="16" t="s">
        <v>2006</v>
      </c>
      <c r="V138" s="17"/>
      <c r="W138" s="17"/>
      <c r="X138" s="17"/>
      <c r="Y138" s="17"/>
    </row>
    <row r="139" spans="1:25" ht="13.5" customHeight="1">
      <c r="A139" s="12">
        <v>137</v>
      </c>
      <c r="B139" s="13" t="s">
        <v>53</v>
      </c>
      <c r="C139" s="13" t="s">
        <v>54</v>
      </c>
      <c r="D139" s="13" t="s">
        <v>1061</v>
      </c>
      <c r="E139" s="13" t="s">
        <v>1108</v>
      </c>
      <c r="F139" s="14" t="s">
        <v>1111</v>
      </c>
      <c r="G139" s="14" t="s">
        <v>1112</v>
      </c>
      <c r="H139" s="17"/>
      <c r="I139" s="13" t="s">
        <v>2345</v>
      </c>
      <c r="J139" s="13" t="s">
        <v>1110</v>
      </c>
      <c r="K139" s="13" t="s">
        <v>2346</v>
      </c>
      <c r="L139" s="13" t="s">
        <v>2002</v>
      </c>
      <c r="M139" s="14" t="s">
        <v>2347</v>
      </c>
      <c r="N139" s="17"/>
      <c r="O139" s="17"/>
      <c r="P139" s="16" t="s">
        <v>2004</v>
      </c>
      <c r="Q139" s="16" t="s">
        <v>2004</v>
      </c>
      <c r="R139" s="14" t="s">
        <v>2348</v>
      </c>
      <c r="S139" s="17"/>
      <c r="T139" s="17"/>
      <c r="U139" s="16" t="s">
        <v>2006</v>
      </c>
      <c r="V139" s="17"/>
      <c r="W139" s="17"/>
      <c r="X139" s="17"/>
      <c r="Y139" s="17"/>
    </row>
    <row r="140" spans="1:25" ht="13.5" customHeight="1">
      <c r="A140" s="12">
        <v>138</v>
      </c>
      <c r="B140" s="13" t="s">
        <v>87</v>
      </c>
      <c r="C140" s="13" t="s">
        <v>54</v>
      </c>
      <c r="D140" s="13" t="s">
        <v>1061</v>
      </c>
      <c r="E140" s="13" t="s">
        <v>1108</v>
      </c>
      <c r="F140" s="14" t="s">
        <v>1125</v>
      </c>
      <c r="G140" s="14" t="s">
        <v>1126</v>
      </c>
      <c r="H140" s="17"/>
      <c r="I140" s="13" t="s">
        <v>2345</v>
      </c>
      <c r="J140" s="13" t="s">
        <v>1124</v>
      </c>
      <c r="K140" s="13" t="s">
        <v>2349</v>
      </c>
      <c r="L140" s="13"/>
      <c r="M140" s="14" t="s">
        <v>2350</v>
      </c>
      <c r="N140" s="17"/>
      <c r="O140" s="17"/>
      <c r="P140" s="16"/>
      <c r="Q140" s="16"/>
      <c r="R140" s="14"/>
      <c r="S140" s="17"/>
      <c r="T140" s="17"/>
      <c r="U140" s="16" t="s">
        <v>2006</v>
      </c>
      <c r="V140" s="17"/>
      <c r="W140" s="17"/>
      <c r="X140" s="17"/>
      <c r="Y140" s="17"/>
    </row>
    <row r="141" spans="1:25" ht="13.5" customHeight="1">
      <c r="A141" s="12">
        <v>139</v>
      </c>
      <c r="B141" s="13" t="s">
        <v>53</v>
      </c>
      <c r="C141" s="13" t="s">
        <v>54</v>
      </c>
      <c r="D141" s="13" t="s">
        <v>1061</v>
      </c>
      <c r="E141" s="13" t="s">
        <v>1108</v>
      </c>
      <c r="F141" s="14" t="s">
        <v>1111</v>
      </c>
      <c r="G141" s="14" t="s">
        <v>1112</v>
      </c>
      <c r="H141" s="17"/>
      <c r="I141" s="13" t="s">
        <v>2351</v>
      </c>
      <c r="J141" s="13" t="s">
        <v>1131</v>
      </c>
      <c r="K141" s="13" t="s">
        <v>2352</v>
      </c>
      <c r="L141" s="13" t="s">
        <v>2002</v>
      </c>
      <c r="M141" s="14" t="s">
        <v>2347</v>
      </c>
      <c r="N141" s="17"/>
      <c r="O141" s="17"/>
      <c r="P141" s="16" t="s">
        <v>2004</v>
      </c>
      <c r="Q141" s="16" t="s">
        <v>2004</v>
      </c>
      <c r="R141" s="14" t="s">
        <v>2348</v>
      </c>
      <c r="S141" s="17"/>
      <c r="T141" s="17"/>
      <c r="U141" s="16" t="s">
        <v>2006</v>
      </c>
      <c r="V141" s="17"/>
      <c r="W141" s="17"/>
      <c r="X141" s="17"/>
      <c r="Y141" s="17"/>
    </row>
    <row r="142" spans="1:25" ht="13.5" customHeight="1">
      <c r="A142" s="12">
        <v>140</v>
      </c>
      <c r="B142" s="13" t="s">
        <v>53</v>
      </c>
      <c r="C142" s="13" t="s">
        <v>54</v>
      </c>
      <c r="D142" s="13" t="s">
        <v>1061</v>
      </c>
      <c r="E142" s="13" t="s">
        <v>1108</v>
      </c>
      <c r="F142" s="14" t="s">
        <v>1111</v>
      </c>
      <c r="G142" s="14" t="s">
        <v>1112</v>
      </c>
      <c r="H142" s="17"/>
      <c r="I142" s="13" t="s">
        <v>2353</v>
      </c>
      <c r="J142" s="13" t="s">
        <v>1135</v>
      </c>
      <c r="K142" s="13" t="s">
        <v>2354</v>
      </c>
      <c r="L142" s="13" t="s">
        <v>2002</v>
      </c>
      <c r="M142" s="14" t="s">
        <v>2347</v>
      </c>
      <c r="N142" s="16" t="s">
        <v>2004</v>
      </c>
      <c r="O142" s="16" t="s">
        <v>2004</v>
      </c>
      <c r="P142" s="17"/>
      <c r="Q142" s="17"/>
      <c r="R142" s="14" t="s">
        <v>2348</v>
      </c>
      <c r="S142" s="17"/>
      <c r="T142" s="17"/>
      <c r="U142" s="16" t="s">
        <v>2006</v>
      </c>
      <c r="V142" s="17"/>
      <c r="W142" s="17"/>
      <c r="X142" s="17"/>
      <c r="Y142" s="17"/>
    </row>
    <row r="143" spans="1:25" ht="13.5" customHeight="1">
      <c r="A143" s="12">
        <v>141</v>
      </c>
      <c r="B143" s="13" t="s">
        <v>53</v>
      </c>
      <c r="C143" s="13" t="s">
        <v>54</v>
      </c>
      <c r="D143" s="13" t="s">
        <v>1061</v>
      </c>
      <c r="E143" s="13" t="s">
        <v>1108</v>
      </c>
      <c r="F143" s="14" t="s">
        <v>1111</v>
      </c>
      <c r="G143" s="14" t="s">
        <v>1112</v>
      </c>
      <c r="H143" s="17"/>
      <c r="I143" s="13" t="s">
        <v>2355</v>
      </c>
      <c r="J143" s="13" t="s">
        <v>1139</v>
      </c>
      <c r="K143" s="13" t="s">
        <v>2356</v>
      </c>
      <c r="L143" s="13" t="s">
        <v>2002</v>
      </c>
      <c r="M143" s="14" t="s">
        <v>2347</v>
      </c>
      <c r="N143" s="16" t="s">
        <v>2004</v>
      </c>
      <c r="O143" s="16" t="s">
        <v>2004</v>
      </c>
      <c r="P143" s="17"/>
      <c r="Q143" s="17"/>
      <c r="R143" s="14" t="s">
        <v>2348</v>
      </c>
      <c r="S143" s="17"/>
      <c r="T143" s="17"/>
      <c r="U143" s="16" t="s">
        <v>2006</v>
      </c>
      <c r="V143" s="17"/>
      <c r="W143" s="17"/>
      <c r="X143" s="17"/>
      <c r="Y143" s="17"/>
    </row>
    <row r="144" spans="1:25" ht="13.5" customHeight="1">
      <c r="A144" s="12">
        <v>142</v>
      </c>
      <c r="B144" s="13" t="s">
        <v>53</v>
      </c>
      <c r="C144" s="13" t="s">
        <v>54</v>
      </c>
      <c r="D144" s="13" t="s">
        <v>1061</v>
      </c>
      <c r="E144" s="13" t="s">
        <v>1142</v>
      </c>
      <c r="F144" s="14" t="s">
        <v>1145</v>
      </c>
      <c r="G144" s="14" t="s">
        <v>1146</v>
      </c>
      <c r="H144" s="17"/>
      <c r="I144" s="13" t="s">
        <v>2357</v>
      </c>
      <c r="J144" s="13" t="s">
        <v>1144</v>
      </c>
      <c r="K144" s="13" t="s">
        <v>2358</v>
      </c>
      <c r="L144" s="13" t="s">
        <v>2002</v>
      </c>
      <c r="M144" s="14" t="s">
        <v>1148</v>
      </c>
      <c r="N144" s="17"/>
      <c r="O144" s="17"/>
      <c r="P144" s="17"/>
      <c r="Q144" s="16" t="s">
        <v>2004</v>
      </c>
      <c r="R144" s="14" t="s">
        <v>2359</v>
      </c>
      <c r="S144" s="17"/>
      <c r="T144" s="17"/>
      <c r="U144" s="16" t="s">
        <v>2006</v>
      </c>
      <c r="V144" s="17"/>
      <c r="W144" s="17"/>
      <c r="X144" s="17"/>
      <c r="Y144" s="17"/>
    </row>
    <row r="145" spans="1:25" ht="13.5" customHeight="1">
      <c r="A145" s="12">
        <v>143</v>
      </c>
      <c r="B145" s="13" t="s">
        <v>87</v>
      </c>
      <c r="C145" s="13" t="s">
        <v>54</v>
      </c>
      <c r="D145" s="13" t="s">
        <v>1061</v>
      </c>
      <c r="E145" s="13" t="s">
        <v>1142</v>
      </c>
      <c r="F145" s="14" t="s">
        <v>1160</v>
      </c>
      <c r="G145" s="14" t="s">
        <v>1161</v>
      </c>
      <c r="H145" s="17"/>
      <c r="I145" s="13" t="s">
        <v>2357</v>
      </c>
      <c r="J145" s="13" t="s">
        <v>1159</v>
      </c>
      <c r="K145" s="13" t="s">
        <v>2360</v>
      </c>
      <c r="L145" s="13" t="s">
        <v>2002</v>
      </c>
      <c r="M145" s="14" t="s">
        <v>2361</v>
      </c>
      <c r="N145" s="17"/>
      <c r="O145" s="17"/>
      <c r="P145" s="17"/>
      <c r="Q145" s="16"/>
      <c r="R145" s="14"/>
      <c r="S145" s="17"/>
      <c r="T145" s="17"/>
      <c r="U145" s="16" t="s">
        <v>2006</v>
      </c>
      <c r="V145" s="17"/>
      <c r="W145" s="17"/>
      <c r="X145" s="17"/>
      <c r="Y145" s="17"/>
    </row>
    <row r="146" spans="1:25" ht="13.5" customHeight="1">
      <c r="A146" s="12">
        <v>144</v>
      </c>
      <c r="B146" s="13" t="s">
        <v>53</v>
      </c>
      <c r="C146" s="13" t="s">
        <v>54</v>
      </c>
      <c r="D146" s="13" t="s">
        <v>1061</v>
      </c>
      <c r="E146" s="13" t="s">
        <v>1165</v>
      </c>
      <c r="F146" s="14" t="s">
        <v>1168</v>
      </c>
      <c r="G146" s="14" t="s">
        <v>1169</v>
      </c>
      <c r="H146" s="17"/>
      <c r="I146" s="13" t="s">
        <v>2362</v>
      </c>
      <c r="J146" s="13" t="s">
        <v>1167</v>
      </c>
      <c r="K146" s="13" t="s">
        <v>2363</v>
      </c>
      <c r="L146" s="13" t="s">
        <v>2002</v>
      </c>
      <c r="M146" s="14" t="s">
        <v>2364</v>
      </c>
      <c r="N146" s="17"/>
      <c r="O146" s="17"/>
      <c r="P146" s="16" t="s">
        <v>2004</v>
      </c>
      <c r="Q146" s="16" t="s">
        <v>2004</v>
      </c>
      <c r="R146" s="14" t="s">
        <v>2365</v>
      </c>
      <c r="S146" s="17"/>
      <c r="T146" s="17"/>
      <c r="U146" s="16" t="s">
        <v>2006</v>
      </c>
      <c r="V146" s="17"/>
      <c r="W146" s="17"/>
      <c r="X146" s="17"/>
      <c r="Y146" s="17"/>
    </row>
    <row r="147" spans="1:25" ht="13.5" customHeight="1">
      <c r="A147" s="12">
        <v>145</v>
      </c>
      <c r="B147" s="13" t="s">
        <v>53</v>
      </c>
      <c r="C147" s="13" t="s">
        <v>54</v>
      </c>
      <c r="D147" s="13" t="s">
        <v>1061</v>
      </c>
      <c r="E147" s="13" t="s">
        <v>1180</v>
      </c>
      <c r="F147" s="14" t="s">
        <v>1183</v>
      </c>
      <c r="G147" s="14" t="s">
        <v>1184</v>
      </c>
      <c r="H147" s="17"/>
      <c r="I147" s="13" t="s">
        <v>2366</v>
      </c>
      <c r="J147" s="13" t="s">
        <v>1182</v>
      </c>
      <c r="K147" s="13" t="s">
        <v>2367</v>
      </c>
      <c r="L147" s="13" t="s">
        <v>2002</v>
      </c>
      <c r="M147" s="14" t="s">
        <v>1186</v>
      </c>
      <c r="N147" s="17"/>
      <c r="O147" s="17"/>
      <c r="P147" s="16" t="s">
        <v>2004</v>
      </c>
      <c r="Q147" s="16" t="s">
        <v>2004</v>
      </c>
      <c r="R147" s="14" t="s">
        <v>1187</v>
      </c>
      <c r="S147" s="17"/>
      <c r="T147" s="17"/>
      <c r="U147" s="16" t="s">
        <v>2006</v>
      </c>
      <c r="V147" s="17"/>
      <c r="W147" s="17"/>
      <c r="X147" s="17"/>
      <c r="Y147" s="17"/>
    </row>
    <row r="148" spans="1:25" ht="13.5" customHeight="1">
      <c r="A148" s="12">
        <v>146</v>
      </c>
      <c r="B148" s="19" t="s">
        <v>53</v>
      </c>
      <c r="C148" s="19" t="s">
        <v>1195</v>
      </c>
      <c r="D148" s="20"/>
      <c r="E148" s="20" t="s">
        <v>1196</v>
      </c>
      <c r="F148" s="21" t="s">
        <v>1199</v>
      </c>
      <c r="G148" s="21" t="s">
        <v>1200</v>
      </c>
      <c r="H148" s="20"/>
      <c r="I148" s="20" t="s">
        <v>2368</v>
      </c>
      <c r="J148" s="19" t="s">
        <v>1198</v>
      </c>
      <c r="K148" s="19" t="s">
        <v>2369</v>
      </c>
      <c r="L148" s="20" t="s">
        <v>2002</v>
      </c>
      <c r="M148" s="21" t="s">
        <v>1202</v>
      </c>
      <c r="N148" s="20"/>
      <c r="O148" s="20"/>
      <c r="P148" s="20"/>
      <c r="Q148" s="20"/>
      <c r="R148" s="21" t="s">
        <v>1203</v>
      </c>
      <c r="S148" s="20"/>
      <c r="T148" s="20"/>
      <c r="U148" s="20" t="s">
        <v>2370</v>
      </c>
      <c r="V148" s="20"/>
      <c r="W148" s="20"/>
      <c r="X148" s="20"/>
      <c r="Y148" s="20"/>
    </row>
    <row r="149" spans="1:25" ht="13.5" customHeight="1">
      <c r="A149" s="12">
        <v>147</v>
      </c>
      <c r="B149" s="19" t="s">
        <v>53</v>
      </c>
      <c r="C149" s="19" t="s">
        <v>1195</v>
      </c>
      <c r="D149" s="20"/>
      <c r="E149" s="20" t="s">
        <v>1196</v>
      </c>
      <c r="F149" s="21"/>
      <c r="G149" s="21"/>
      <c r="H149" s="20"/>
      <c r="I149" s="20" t="s">
        <v>2371</v>
      </c>
      <c r="J149" s="19" t="s">
        <v>1206</v>
      </c>
      <c r="K149" s="19" t="s">
        <v>2372</v>
      </c>
      <c r="L149" s="20" t="s">
        <v>2116</v>
      </c>
      <c r="M149" s="21"/>
      <c r="N149" s="20"/>
      <c r="O149" s="20"/>
      <c r="P149" s="20"/>
      <c r="Q149" s="20"/>
      <c r="R149" s="21" t="s">
        <v>1203</v>
      </c>
      <c r="S149" s="20"/>
      <c r="T149" s="20"/>
      <c r="U149" s="20" t="s">
        <v>2370</v>
      </c>
      <c r="V149" s="20"/>
      <c r="W149" s="20"/>
      <c r="X149" s="20"/>
      <c r="Y149" s="20"/>
    </row>
    <row r="150" spans="1:25" ht="13.5" customHeight="1">
      <c r="A150" s="12">
        <v>148</v>
      </c>
      <c r="B150" s="19" t="s">
        <v>53</v>
      </c>
      <c r="C150" s="19" t="s">
        <v>1195</v>
      </c>
      <c r="D150" s="20"/>
      <c r="E150" s="20" t="s">
        <v>1196</v>
      </c>
      <c r="F150" s="21" t="s">
        <v>1199</v>
      </c>
      <c r="G150" s="21" t="s">
        <v>1200</v>
      </c>
      <c r="H150" s="20"/>
      <c r="I150" s="20" t="s">
        <v>2373</v>
      </c>
      <c r="J150" s="19" t="s">
        <v>1212</v>
      </c>
      <c r="K150" s="19" t="s">
        <v>2374</v>
      </c>
      <c r="L150" s="20" t="s">
        <v>2002</v>
      </c>
      <c r="M150" s="21" t="s">
        <v>1202</v>
      </c>
      <c r="N150" s="20"/>
      <c r="O150" s="20"/>
      <c r="P150" s="20"/>
      <c r="Q150" s="20"/>
      <c r="R150" s="21" t="s">
        <v>1203</v>
      </c>
      <c r="S150" s="20"/>
      <c r="T150" s="20"/>
      <c r="U150" s="20" t="s">
        <v>2370</v>
      </c>
      <c r="V150" s="20"/>
      <c r="W150" s="20"/>
      <c r="X150" s="20"/>
      <c r="Y150" s="20"/>
    </row>
    <row r="151" spans="1:25" ht="13.5" customHeight="1">
      <c r="A151" s="12">
        <v>149</v>
      </c>
      <c r="B151" s="19" t="s">
        <v>53</v>
      </c>
      <c r="C151" s="19" t="s">
        <v>1195</v>
      </c>
      <c r="D151" s="20"/>
      <c r="E151" s="20" t="s">
        <v>1196</v>
      </c>
      <c r="F151" s="21" t="s">
        <v>1199</v>
      </c>
      <c r="G151" s="21" t="s">
        <v>1200</v>
      </c>
      <c r="H151" s="20"/>
      <c r="I151" s="20" t="s">
        <v>2375</v>
      </c>
      <c r="J151" s="19" t="s">
        <v>1216</v>
      </c>
      <c r="K151" s="19" t="s">
        <v>2376</v>
      </c>
      <c r="L151" s="20" t="s">
        <v>2002</v>
      </c>
      <c r="M151" s="21" t="s">
        <v>1202</v>
      </c>
      <c r="N151" s="20"/>
      <c r="O151" s="20"/>
      <c r="P151" s="20"/>
      <c r="Q151" s="20"/>
      <c r="R151" s="21" t="s">
        <v>1203</v>
      </c>
      <c r="S151" s="20"/>
      <c r="T151" s="20"/>
      <c r="U151" s="20" t="s">
        <v>2370</v>
      </c>
      <c r="V151" s="20"/>
      <c r="W151" s="20"/>
      <c r="X151" s="20"/>
      <c r="Y151" s="20"/>
    </row>
    <row r="152" spans="1:25" ht="13.5" customHeight="1">
      <c r="A152" s="12">
        <v>150</v>
      </c>
      <c r="B152" s="19" t="s">
        <v>53</v>
      </c>
      <c r="C152" s="19" t="s">
        <v>1195</v>
      </c>
      <c r="D152" s="20"/>
      <c r="E152" s="20" t="s">
        <v>1196</v>
      </c>
      <c r="F152" s="21" t="s">
        <v>1199</v>
      </c>
      <c r="G152" s="21" t="s">
        <v>1200</v>
      </c>
      <c r="H152" s="20"/>
      <c r="I152" s="20" t="s">
        <v>2377</v>
      </c>
      <c r="J152" s="19" t="s">
        <v>1220</v>
      </c>
      <c r="K152" s="19" t="s">
        <v>2378</v>
      </c>
      <c r="L152" s="20" t="s">
        <v>2002</v>
      </c>
      <c r="M152" s="21" t="s">
        <v>1202</v>
      </c>
      <c r="N152" s="20"/>
      <c r="O152" s="20"/>
      <c r="P152" s="20"/>
      <c r="Q152" s="20"/>
      <c r="R152" s="21" t="s">
        <v>1203</v>
      </c>
      <c r="S152" s="20"/>
      <c r="T152" s="20"/>
      <c r="U152" s="20" t="s">
        <v>2370</v>
      </c>
      <c r="V152" s="20"/>
      <c r="W152" s="20"/>
      <c r="X152" s="20"/>
      <c r="Y152" s="20"/>
    </row>
    <row r="153" spans="1:25" ht="13.5" customHeight="1">
      <c r="A153" s="12">
        <v>151</v>
      </c>
      <c r="B153" s="19" t="s">
        <v>53</v>
      </c>
      <c r="C153" s="19" t="s">
        <v>1195</v>
      </c>
      <c r="D153" s="20"/>
      <c r="E153" s="20" t="s">
        <v>1223</v>
      </c>
      <c r="F153" s="21" t="s">
        <v>1226</v>
      </c>
      <c r="G153" s="21" t="s">
        <v>1227</v>
      </c>
      <c r="H153" s="20"/>
      <c r="I153" s="20" t="s">
        <v>2379</v>
      </c>
      <c r="J153" s="19" t="s">
        <v>1225</v>
      </c>
      <c r="K153" s="19" t="s">
        <v>2380</v>
      </c>
      <c r="L153" s="20" t="s">
        <v>2002</v>
      </c>
      <c r="M153" s="21" t="s">
        <v>1229</v>
      </c>
      <c r="N153" s="20"/>
      <c r="O153" s="20"/>
      <c r="P153" s="20"/>
      <c r="Q153" s="20"/>
      <c r="R153" s="21" t="s">
        <v>1230</v>
      </c>
      <c r="S153" s="20"/>
      <c r="T153" s="20"/>
      <c r="U153" s="20" t="s">
        <v>2370</v>
      </c>
      <c r="V153" s="20"/>
      <c r="W153" s="20"/>
      <c r="X153" s="20"/>
      <c r="Y153" s="20"/>
    </row>
    <row r="154" spans="1:25" ht="13.5" customHeight="1">
      <c r="A154" s="12">
        <v>152</v>
      </c>
      <c r="B154" s="19" t="s">
        <v>53</v>
      </c>
      <c r="C154" s="19" t="s">
        <v>1195</v>
      </c>
      <c r="D154" s="20"/>
      <c r="E154" s="20" t="s">
        <v>1223</v>
      </c>
      <c r="F154" s="21"/>
      <c r="G154" s="21"/>
      <c r="H154" s="20"/>
      <c r="I154" s="20" t="s">
        <v>2381</v>
      </c>
      <c r="J154" s="19" t="s">
        <v>1233</v>
      </c>
      <c r="K154" s="19" t="s">
        <v>2382</v>
      </c>
      <c r="L154" s="20" t="s">
        <v>2116</v>
      </c>
      <c r="M154" s="21"/>
      <c r="N154" s="20"/>
      <c r="O154" s="20"/>
      <c r="P154" s="20"/>
      <c r="Q154" s="20"/>
      <c r="R154" s="21" t="s">
        <v>1230</v>
      </c>
      <c r="S154" s="20"/>
      <c r="T154" s="20"/>
      <c r="U154" s="20" t="s">
        <v>2370</v>
      </c>
      <c r="V154" s="20"/>
      <c r="W154" s="20"/>
      <c r="X154" s="20"/>
      <c r="Y154" s="20"/>
    </row>
    <row r="155" spans="1:25" ht="13.5" customHeight="1">
      <c r="A155" s="12">
        <v>153</v>
      </c>
      <c r="B155" s="19" t="s">
        <v>53</v>
      </c>
      <c r="C155" s="19" t="s">
        <v>1195</v>
      </c>
      <c r="D155" s="20"/>
      <c r="E155" s="20" t="s">
        <v>1223</v>
      </c>
      <c r="F155" s="21"/>
      <c r="G155" s="21"/>
      <c r="H155" s="20"/>
      <c r="I155" s="20" t="s">
        <v>2383</v>
      </c>
      <c r="J155" s="19" t="s">
        <v>1239</v>
      </c>
      <c r="K155" s="19" t="s">
        <v>2384</v>
      </c>
      <c r="L155" s="20" t="s">
        <v>2116</v>
      </c>
      <c r="M155" s="21"/>
      <c r="N155" s="20"/>
      <c r="O155" s="20"/>
      <c r="P155" s="20"/>
      <c r="Q155" s="20"/>
      <c r="R155" s="21" t="s">
        <v>1230</v>
      </c>
      <c r="S155" s="20"/>
      <c r="T155" s="20"/>
      <c r="U155" s="20" t="s">
        <v>2370</v>
      </c>
      <c r="V155" s="20"/>
      <c r="W155" s="20"/>
      <c r="X155" s="20"/>
      <c r="Y155" s="20"/>
    </row>
    <row r="156" spans="1:25" ht="13.5" customHeight="1">
      <c r="A156" s="12">
        <v>154</v>
      </c>
      <c r="B156" s="19" t="s">
        <v>53</v>
      </c>
      <c r="C156" s="19" t="s">
        <v>1195</v>
      </c>
      <c r="D156" s="20"/>
      <c r="E156" s="20" t="s">
        <v>1223</v>
      </c>
      <c r="F156" s="21"/>
      <c r="G156" s="21"/>
      <c r="H156" s="20"/>
      <c r="I156" s="20" t="s">
        <v>2385</v>
      </c>
      <c r="J156" s="19" t="s">
        <v>1245</v>
      </c>
      <c r="K156" s="19" t="s">
        <v>2386</v>
      </c>
      <c r="L156" s="20" t="s">
        <v>2116</v>
      </c>
      <c r="M156" s="21"/>
      <c r="N156" s="20"/>
      <c r="O156" s="20"/>
      <c r="P156" s="20"/>
      <c r="Q156" s="20"/>
      <c r="R156" s="21" t="s">
        <v>1230</v>
      </c>
      <c r="S156" s="20"/>
      <c r="T156" s="20"/>
      <c r="U156" s="20" t="s">
        <v>2370</v>
      </c>
      <c r="V156" s="20"/>
      <c r="W156" s="20"/>
      <c r="X156" s="20"/>
      <c r="Y156" s="20"/>
    </row>
    <row r="157" spans="1:25" ht="13.5" customHeight="1">
      <c r="A157" s="12">
        <v>155</v>
      </c>
      <c r="B157" s="19" t="s">
        <v>53</v>
      </c>
      <c r="C157" s="19" t="s">
        <v>1195</v>
      </c>
      <c r="D157" s="20"/>
      <c r="E157" s="20" t="s">
        <v>1223</v>
      </c>
      <c r="F157" s="21"/>
      <c r="G157" s="21"/>
      <c r="H157" s="20"/>
      <c r="I157" s="20" t="s">
        <v>2387</v>
      </c>
      <c r="J157" s="19" t="s">
        <v>1251</v>
      </c>
      <c r="K157" s="19" t="s">
        <v>2388</v>
      </c>
      <c r="L157" s="20" t="s">
        <v>2116</v>
      </c>
      <c r="M157" s="21"/>
      <c r="N157" s="20"/>
      <c r="O157" s="20"/>
      <c r="P157" s="20"/>
      <c r="Q157" s="20"/>
      <c r="R157" s="21" t="s">
        <v>1230</v>
      </c>
      <c r="S157" s="20"/>
      <c r="T157" s="20"/>
      <c r="U157" s="20" t="s">
        <v>2370</v>
      </c>
      <c r="V157" s="20"/>
      <c r="W157" s="20"/>
      <c r="X157" s="20"/>
      <c r="Y157" s="20"/>
    </row>
    <row r="158" spans="1:25" ht="13.5" customHeight="1">
      <c r="A158" s="12">
        <v>156</v>
      </c>
      <c r="B158" s="19" t="s">
        <v>53</v>
      </c>
      <c r="C158" s="19" t="s">
        <v>1195</v>
      </c>
      <c r="D158" s="20"/>
      <c r="E158" s="20" t="s">
        <v>1223</v>
      </c>
      <c r="F158" s="21"/>
      <c r="G158" s="21"/>
      <c r="H158" s="20"/>
      <c r="I158" s="20" t="s">
        <v>2389</v>
      </c>
      <c r="J158" s="19" t="s">
        <v>1257</v>
      </c>
      <c r="K158" s="19" t="s">
        <v>2390</v>
      </c>
      <c r="L158" s="20" t="s">
        <v>2116</v>
      </c>
      <c r="M158" s="21"/>
      <c r="N158" s="20"/>
      <c r="O158" s="20"/>
      <c r="P158" s="20"/>
      <c r="Q158" s="20"/>
      <c r="R158" s="21" t="s">
        <v>1230</v>
      </c>
      <c r="S158" s="20"/>
      <c r="T158" s="20"/>
      <c r="U158" s="20" t="s">
        <v>2370</v>
      </c>
      <c r="V158" s="20"/>
      <c r="W158" s="20"/>
      <c r="X158" s="20"/>
      <c r="Y158" s="20"/>
    </row>
    <row r="159" spans="1:25" ht="13.5" customHeight="1">
      <c r="A159" s="12">
        <v>157</v>
      </c>
      <c r="B159" s="19" t="s">
        <v>53</v>
      </c>
      <c r="C159" s="19" t="s">
        <v>1195</v>
      </c>
      <c r="D159" s="20"/>
      <c r="E159" s="20" t="s">
        <v>1262</v>
      </c>
      <c r="F159" s="21" t="s">
        <v>1265</v>
      </c>
      <c r="G159" s="21" t="s">
        <v>1266</v>
      </c>
      <c r="H159" s="20"/>
      <c r="I159" s="20" t="s">
        <v>2391</v>
      </c>
      <c r="J159" s="19" t="s">
        <v>1264</v>
      </c>
      <c r="K159" s="19" t="s">
        <v>2392</v>
      </c>
      <c r="L159" s="20" t="s">
        <v>2002</v>
      </c>
      <c r="M159" s="21" t="s">
        <v>1268</v>
      </c>
      <c r="N159" s="20"/>
      <c r="O159" s="20"/>
      <c r="P159" s="20"/>
      <c r="Q159" s="20"/>
      <c r="R159" s="21" t="s">
        <v>1269</v>
      </c>
      <c r="S159" s="20"/>
      <c r="T159" s="20"/>
      <c r="U159" s="20" t="s">
        <v>2370</v>
      </c>
      <c r="V159" s="20"/>
      <c r="W159" s="20"/>
      <c r="X159" s="20"/>
      <c r="Y159" s="20"/>
    </row>
    <row r="160" spans="1:25" ht="13.5" customHeight="1">
      <c r="A160" s="12">
        <v>158</v>
      </c>
      <c r="B160" s="19" t="s">
        <v>53</v>
      </c>
      <c r="C160" s="19" t="s">
        <v>1195</v>
      </c>
      <c r="D160" s="20"/>
      <c r="E160" s="20" t="s">
        <v>1271</v>
      </c>
      <c r="F160" s="21" t="s">
        <v>1274</v>
      </c>
      <c r="G160" s="21" t="s">
        <v>1275</v>
      </c>
      <c r="H160" s="20"/>
      <c r="I160" s="20" t="s">
        <v>2393</v>
      </c>
      <c r="J160" s="19" t="s">
        <v>1273</v>
      </c>
      <c r="K160" s="19" t="s">
        <v>2394</v>
      </c>
      <c r="L160" s="20" t="s">
        <v>2002</v>
      </c>
      <c r="M160" s="21" t="s">
        <v>1277</v>
      </c>
      <c r="N160" s="20"/>
      <c r="O160" s="20"/>
      <c r="P160" s="20"/>
      <c r="Q160" s="20"/>
      <c r="R160" s="21" t="s">
        <v>1278</v>
      </c>
      <c r="S160" s="20"/>
      <c r="T160" s="20"/>
      <c r="U160" s="20" t="s">
        <v>2370</v>
      </c>
      <c r="V160" s="20"/>
      <c r="W160" s="20"/>
      <c r="X160" s="20"/>
      <c r="Y160" s="20"/>
    </row>
    <row r="161" spans="1:25" ht="13.5" customHeight="1">
      <c r="A161" s="12">
        <v>159</v>
      </c>
      <c r="B161" s="19" t="s">
        <v>53</v>
      </c>
      <c r="C161" s="19" t="s">
        <v>1195</v>
      </c>
      <c r="D161" s="20"/>
      <c r="E161" s="20" t="s">
        <v>1271</v>
      </c>
      <c r="F161" s="21" t="s">
        <v>1274</v>
      </c>
      <c r="G161" s="21" t="s">
        <v>1275</v>
      </c>
      <c r="H161" s="20"/>
      <c r="I161" s="20" t="s">
        <v>2395</v>
      </c>
      <c r="J161" s="19" t="s">
        <v>1281</v>
      </c>
      <c r="K161" s="19" t="s">
        <v>2396</v>
      </c>
      <c r="L161" s="20" t="s">
        <v>2002</v>
      </c>
      <c r="M161" s="21" t="s">
        <v>1277</v>
      </c>
      <c r="N161" s="20"/>
      <c r="O161" s="20"/>
      <c r="P161" s="20"/>
      <c r="Q161" s="20"/>
      <c r="R161" s="21" t="s">
        <v>1278</v>
      </c>
      <c r="S161" s="20"/>
      <c r="T161" s="20"/>
      <c r="U161" s="20" t="s">
        <v>2370</v>
      </c>
      <c r="V161" s="20"/>
      <c r="W161" s="20"/>
      <c r="X161" s="20"/>
      <c r="Y161" s="20"/>
    </row>
    <row r="162" spans="1:25" ht="13.5" customHeight="1">
      <c r="A162" s="12">
        <v>160</v>
      </c>
      <c r="B162" s="19" t="s">
        <v>53</v>
      </c>
      <c r="C162" s="19" t="s">
        <v>1195</v>
      </c>
      <c r="D162" s="20"/>
      <c r="E162" s="20" t="s">
        <v>1271</v>
      </c>
      <c r="F162" s="21" t="s">
        <v>1274</v>
      </c>
      <c r="G162" s="21" t="s">
        <v>1275</v>
      </c>
      <c r="H162" s="20"/>
      <c r="I162" s="20" t="s">
        <v>2397</v>
      </c>
      <c r="J162" s="19" t="s">
        <v>1285</v>
      </c>
      <c r="K162" s="19" t="s">
        <v>2398</v>
      </c>
      <c r="L162" s="20" t="s">
        <v>2002</v>
      </c>
      <c r="M162" s="21" t="s">
        <v>1277</v>
      </c>
      <c r="N162" s="20"/>
      <c r="O162" s="20"/>
      <c r="P162" s="20"/>
      <c r="Q162" s="20"/>
      <c r="R162" s="21" t="s">
        <v>1278</v>
      </c>
      <c r="S162" s="20"/>
      <c r="T162" s="20"/>
      <c r="U162" s="20" t="s">
        <v>2370</v>
      </c>
      <c r="V162" s="20"/>
      <c r="W162" s="20"/>
      <c r="X162" s="20"/>
      <c r="Y162" s="20"/>
    </row>
    <row r="163" spans="1:25" ht="13.5" customHeight="1">
      <c r="A163" s="12">
        <v>161</v>
      </c>
      <c r="B163" s="19" t="s">
        <v>53</v>
      </c>
      <c r="C163" s="19" t="s">
        <v>1195</v>
      </c>
      <c r="D163" s="20"/>
      <c r="E163" s="20" t="s">
        <v>1271</v>
      </c>
      <c r="F163" s="21" t="s">
        <v>1274</v>
      </c>
      <c r="G163" s="21" t="s">
        <v>1275</v>
      </c>
      <c r="H163" s="20"/>
      <c r="I163" s="20" t="s">
        <v>2399</v>
      </c>
      <c r="J163" s="19" t="s">
        <v>1289</v>
      </c>
      <c r="K163" s="19" t="s">
        <v>2400</v>
      </c>
      <c r="L163" s="20" t="s">
        <v>2002</v>
      </c>
      <c r="M163" s="21" t="s">
        <v>1277</v>
      </c>
      <c r="N163" s="20"/>
      <c r="O163" s="20"/>
      <c r="P163" s="20"/>
      <c r="Q163" s="20"/>
      <c r="R163" s="21" t="s">
        <v>1278</v>
      </c>
      <c r="S163" s="20"/>
      <c r="T163" s="20"/>
      <c r="U163" s="20" t="s">
        <v>2370</v>
      </c>
      <c r="V163" s="20"/>
      <c r="W163" s="20"/>
      <c r="X163" s="20"/>
      <c r="Y163" s="20"/>
    </row>
    <row r="164" spans="1:25" ht="13.5" customHeight="1">
      <c r="A164" s="12">
        <v>162</v>
      </c>
      <c r="B164" s="19" t="s">
        <v>53</v>
      </c>
      <c r="C164" s="19" t="s">
        <v>1195</v>
      </c>
      <c r="D164" s="20"/>
      <c r="E164" s="20" t="s">
        <v>1271</v>
      </c>
      <c r="F164" s="21" t="s">
        <v>1274</v>
      </c>
      <c r="G164" s="21" t="s">
        <v>1275</v>
      </c>
      <c r="H164" s="20"/>
      <c r="I164" s="20" t="s">
        <v>2401</v>
      </c>
      <c r="J164" s="19" t="s">
        <v>2402</v>
      </c>
      <c r="K164" s="19" t="s">
        <v>2403</v>
      </c>
      <c r="L164" s="20" t="s">
        <v>2002</v>
      </c>
      <c r="M164" s="21" t="s">
        <v>1277</v>
      </c>
      <c r="N164" s="20"/>
      <c r="O164" s="20"/>
      <c r="P164" s="20"/>
      <c r="Q164" s="20"/>
      <c r="R164" s="21" t="s">
        <v>1278</v>
      </c>
      <c r="S164" s="20"/>
      <c r="T164" s="20"/>
      <c r="U164" s="20" t="s">
        <v>2370</v>
      </c>
      <c r="V164" s="20"/>
      <c r="W164" s="20"/>
      <c r="X164" s="20"/>
      <c r="Y164" s="20"/>
    </row>
    <row r="165" spans="1:25" ht="13.5" customHeight="1">
      <c r="A165" s="12">
        <v>163</v>
      </c>
      <c r="B165" s="19" t="s">
        <v>53</v>
      </c>
      <c r="C165" s="19" t="s">
        <v>1195</v>
      </c>
      <c r="D165" s="20"/>
      <c r="E165" s="20" t="s">
        <v>1296</v>
      </c>
      <c r="F165" s="21" t="s">
        <v>1299</v>
      </c>
      <c r="G165" s="21" t="s">
        <v>1300</v>
      </c>
      <c r="H165" s="20"/>
      <c r="I165" s="20" t="s">
        <v>2404</v>
      </c>
      <c r="J165" s="19" t="s">
        <v>1298</v>
      </c>
      <c r="K165" s="19" t="s">
        <v>2405</v>
      </c>
      <c r="L165" s="20" t="s">
        <v>2002</v>
      </c>
      <c r="M165" s="21" t="s">
        <v>1302</v>
      </c>
      <c r="N165" s="20"/>
      <c r="O165" s="20"/>
      <c r="P165" s="20"/>
      <c r="Q165" s="20"/>
      <c r="R165" s="21" t="s">
        <v>1303</v>
      </c>
      <c r="S165" s="20"/>
      <c r="T165" s="20"/>
      <c r="U165" s="20" t="s">
        <v>2370</v>
      </c>
      <c r="V165" s="20"/>
      <c r="W165" s="20"/>
      <c r="X165" s="20"/>
      <c r="Y165" s="20"/>
    </row>
    <row r="166" spans="1:25" ht="13.5" customHeight="1">
      <c r="A166" s="12">
        <v>164</v>
      </c>
      <c r="B166" s="19" t="s">
        <v>53</v>
      </c>
      <c r="C166" s="19" t="s">
        <v>1195</v>
      </c>
      <c r="D166" s="20"/>
      <c r="E166" s="20" t="s">
        <v>1305</v>
      </c>
      <c r="F166" s="21" t="s">
        <v>1308</v>
      </c>
      <c r="G166" s="21" t="s">
        <v>1309</v>
      </c>
      <c r="H166" s="20"/>
      <c r="I166" s="20" t="s">
        <v>2406</v>
      </c>
      <c r="J166" s="19" t="s">
        <v>1307</v>
      </c>
      <c r="K166" s="19" t="s">
        <v>2407</v>
      </c>
      <c r="L166" s="20" t="s">
        <v>2002</v>
      </c>
      <c r="M166" s="21" t="s">
        <v>1311</v>
      </c>
      <c r="N166" s="20"/>
      <c r="O166" s="20"/>
      <c r="P166" s="20"/>
      <c r="Q166" s="20"/>
      <c r="R166" s="21" t="s">
        <v>1312</v>
      </c>
      <c r="S166" s="20"/>
      <c r="T166" s="20"/>
      <c r="U166" s="20" t="s">
        <v>2370</v>
      </c>
      <c r="V166" s="20"/>
      <c r="W166" s="20"/>
      <c r="X166" s="20"/>
      <c r="Y166" s="20"/>
    </row>
    <row r="167" spans="1:25" ht="13.5" customHeight="1">
      <c r="A167" s="12">
        <v>165</v>
      </c>
      <c r="B167" s="19" t="s">
        <v>53</v>
      </c>
      <c r="C167" s="19" t="s">
        <v>1195</v>
      </c>
      <c r="D167" s="20"/>
      <c r="E167" s="20" t="s">
        <v>1314</v>
      </c>
      <c r="F167" s="21" t="s">
        <v>1317</v>
      </c>
      <c r="G167" s="21" t="s">
        <v>1318</v>
      </c>
      <c r="H167" s="20"/>
      <c r="I167" s="20" t="s">
        <v>2200</v>
      </c>
      <c r="J167" s="19" t="s">
        <v>1316</v>
      </c>
      <c r="K167" s="19" t="s">
        <v>2408</v>
      </c>
      <c r="L167" s="20" t="s">
        <v>2002</v>
      </c>
      <c r="M167" s="21" t="s">
        <v>1320</v>
      </c>
      <c r="N167" s="20"/>
      <c r="O167" s="20"/>
      <c r="P167" s="20"/>
      <c r="Q167" s="20"/>
      <c r="R167" s="21" t="s">
        <v>1321</v>
      </c>
      <c r="S167" s="20"/>
      <c r="T167" s="20"/>
      <c r="U167" s="20" t="s">
        <v>2370</v>
      </c>
      <c r="V167" s="20"/>
      <c r="W167" s="20"/>
      <c r="X167" s="20"/>
      <c r="Y167" s="20"/>
    </row>
    <row r="168" spans="1:25" ht="13.5" customHeight="1">
      <c r="A168" s="12">
        <v>166</v>
      </c>
      <c r="B168" s="19" t="s">
        <v>53</v>
      </c>
      <c r="C168" s="19" t="s">
        <v>1195</v>
      </c>
      <c r="D168" s="20"/>
      <c r="E168" s="19" t="s">
        <v>1323</v>
      </c>
      <c r="F168" s="21" t="s">
        <v>1326</v>
      </c>
      <c r="G168" s="21" t="s">
        <v>1327</v>
      </c>
      <c r="H168" s="20"/>
      <c r="I168" s="20" t="s">
        <v>2409</v>
      </c>
      <c r="J168" s="19" t="s">
        <v>1325</v>
      </c>
      <c r="K168" s="19" t="s">
        <v>2410</v>
      </c>
      <c r="L168" s="20" t="s">
        <v>2002</v>
      </c>
      <c r="M168" s="21" t="s">
        <v>1329</v>
      </c>
      <c r="N168" s="20"/>
      <c r="O168" s="20"/>
      <c r="P168" s="20"/>
      <c r="Q168" s="20"/>
      <c r="R168" s="21" t="s">
        <v>1330</v>
      </c>
      <c r="S168" s="20"/>
      <c r="T168" s="20"/>
      <c r="U168" s="20" t="s">
        <v>2370</v>
      </c>
      <c r="V168" s="20"/>
      <c r="W168" s="20"/>
      <c r="X168" s="20"/>
      <c r="Y168" s="20"/>
    </row>
    <row r="169" spans="1:25" ht="13.5" customHeight="1">
      <c r="A169" s="12">
        <v>167</v>
      </c>
      <c r="B169" s="19" t="s">
        <v>53</v>
      </c>
      <c r="C169" s="19" t="s">
        <v>1195</v>
      </c>
      <c r="D169" s="20"/>
      <c r="E169" s="19" t="s">
        <v>1323</v>
      </c>
      <c r="F169" s="21" t="s">
        <v>1326</v>
      </c>
      <c r="G169" s="21" t="s">
        <v>1327</v>
      </c>
      <c r="H169" s="20"/>
      <c r="I169" s="20" t="s">
        <v>2411</v>
      </c>
      <c r="J169" s="19" t="s">
        <v>1333</v>
      </c>
      <c r="K169" s="19" t="s">
        <v>2412</v>
      </c>
      <c r="L169" s="20" t="s">
        <v>2002</v>
      </c>
      <c r="M169" s="21" t="s">
        <v>1329</v>
      </c>
      <c r="N169" s="20"/>
      <c r="O169" s="20"/>
      <c r="P169" s="20"/>
      <c r="Q169" s="20"/>
      <c r="R169" s="21" t="s">
        <v>1330</v>
      </c>
      <c r="S169" s="20"/>
      <c r="T169" s="20"/>
      <c r="U169" s="20" t="s">
        <v>2370</v>
      </c>
      <c r="V169" s="20"/>
      <c r="W169" s="20"/>
      <c r="X169" s="20"/>
      <c r="Y169" s="20"/>
    </row>
    <row r="170" spans="1:25" ht="13.5" customHeight="1">
      <c r="A170" s="12">
        <v>168</v>
      </c>
      <c r="B170" s="19" t="s">
        <v>53</v>
      </c>
      <c r="C170" s="19" t="s">
        <v>1195</v>
      </c>
      <c r="D170" s="20"/>
      <c r="E170" s="19" t="s">
        <v>1323</v>
      </c>
      <c r="F170" s="21" t="s">
        <v>1326</v>
      </c>
      <c r="G170" s="21" t="s">
        <v>1327</v>
      </c>
      <c r="H170" s="20"/>
      <c r="I170" s="20" t="s">
        <v>2413</v>
      </c>
      <c r="J170" s="19" t="s">
        <v>1337</v>
      </c>
      <c r="K170" s="19" t="s">
        <v>2414</v>
      </c>
      <c r="L170" s="20" t="s">
        <v>2002</v>
      </c>
      <c r="M170" s="21" t="s">
        <v>1329</v>
      </c>
      <c r="N170" s="20"/>
      <c r="O170" s="20"/>
      <c r="P170" s="20"/>
      <c r="Q170" s="20"/>
      <c r="R170" s="21" t="s">
        <v>1330</v>
      </c>
      <c r="S170" s="20"/>
      <c r="T170" s="20"/>
      <c r="U170" s="20" t="s">
        <v>2370</v>
      </c>
      <c r="V170" s="20"/>
      <c r="W170" s="20"/>
      <c r="X170" s="20"/>
      <c r="Y170" s="20"/>
    </row>
    <row r="171" spans="1:25" ht="13.5" customHeight="1">
      <c r="A171" s="12">
        <v>169</v>
      </c>
      <c r="B171" s="19" t="s">
        <v>53</v>
      </c>
      <c r="C171" s="19" t="s">
        <v>1195</v>
      </c>
      <c r="D171" s="20"/>
      <c r="E171" s="19" t="s">
        <v>1323</v>
      </c>
      <c r="F171" s="21" t="s">
        <v>1326</v>
      </c>
      <c r="G171" s="21" t="s">
        <v>1327</v>
      </c>
      <c r="H171" s="20"/>
      <c r="I171" s="20" t="s">
        <v>2415</v>
      </c>
      <c r="J171" s="19" t="s">
        <v>1341</v>
      </c>
      <c r="K171" s="19" t="s">
        <v>2416</v>
      </c>
      <c r="L171" s="20" t="s">
        <v>2002</v>
      </c>
      <c r="M171" s="21" t="s">
        <v>1329</v>
      </c>
      <c r="N171" s="20"/>
      <c r="O171" s="20"/>
      <c r="P171" s="20"/>
      <c r="Q171" s="20"/>
      <c r="R171" s="21" t="s">
        <v>1330</v>
      </c>
      <c r="S171" s="20"/>
      <c r="T171" s="20"/>
      <c r="U171" s="20" t="s">
        <v>2370</v>
      </c>
      <c r="V171" s="20"/>
      <c r="W171" s="20"/>
      <c r="X171" s="20"/>
      <c r="Y171" s="20"/>
    </row>
    <row r="172" spans="1:25" ht="13.5" customHeight="1">
      <c r="A172" s="12">
        <v>170</v>
      </c>
      <c r="B172" s="19" t="s">
        <v>53</v>
      </c>
      <c r="C172" s="19" t="s">
        <v>1195</v>
      </c>
      <c r="D172" s="20"/>
      <c r="E172" s="19" t="s">
        <v>1323</v>
      </c>
      <c r="F172" s="21"/>
      <c r="G172" s="21"/>
      <c r="H172" s="20"/>
      <c r="I172" s="20" t="s">
        <v>2417</v>
      </c>
      <c r="J172" s="19" t="s">
        <v>1345</v>
      </c>
      <c r="K172" s="19" t="s">
        <v>2418</v>
      </c>
      <c r="L172" s="20" t="s">
        <v>2116</v>
      </c>
      <c r="M172" s="21"/>
      <c r="N172" s="20"/>
      <c r="O172" s="20"/>
      <c r="P172" s="20"/>
      <c r="Q172" s="20"/>
      <c r="R172" s="21" t="s">
        <v>1330</v>
      </c>
      <c r="S172" s="20"/>
      <c r="T172" s="20"/>
      <c r="U172" s="20" t="s">
        <v>2370</v>
      </c>
      <c r="V172" s="20"/>
      <c r="W172" s="20"/>
      <c r="X172" s="20"/>
      <c r="Y172" s="20"/>
    </row>
    <row r="173" spans="1:25" ht="13.5" customHeight="1">
      <c r="A173" s="12">
        <v>171</v>
      </c>
      <c r="B173" s="19" t="s">
        <v>53</v>
      </c>
      <c r="C173" s="19" t="s">
        <v>1195</v>
      </c>
      <c r="D173" s="20"/>
      <c r="E173" s="19" t="s">
        <v>1323</v>
      </c>
      <c r="F173" s="21"/>
      <c r="G173" s="21"/>
      <c r="H173" s="20"/>
      <c r="I173" s="20" t="s">
        <v>2419</v>
      </c>
      <c r="J173" s="19" t="s">
        <v>1351</v>
      </c>
      <c r="K173" s="19" t="s">
        <v>2420</v>
      </c>
      <c r="L173" s="20" t="s">
        <v>2116</v>
      </c>
      <c r="M173" s="21"/>
      <c r="N173" s="20"/>
      <c r="O173" s="20"/>
      <c r="P173" s="20"/>
      <c r="Q173" s="20"/>
      <c r="R173" s="21" t="s">
        <v>1330</v>
      </c>
      <c r="S173" s="20"/>
      <c r="T173" s="20"/>
      <c r="U173" s="20" t="s">
        <v>2370</v>
      </c>
      <c r="V173" s="20"/>
      <c r="W173" s="20"/>
      <c r="X173" s="20"/>
      <c r="Y173" s="20"/>
    </row>
    <row r="174" spans="1:25" ht="13.5" customHeight="1">
      <c r="A174" s="12">
        <v>172</v>
      </c>
      <c r="B174" s="19" t="s">
        <v>53</v>
      </c>
      <c r="C174" s="19" t="s">
        <v>1195</v>
      </c>
      <c r="D174" s="20"/>
      <c r="E174" s="19" t="s">
        <v>1323</v>
      </c>
      <c r="F174" s="21"/>
      <c r="G174" s="21"/>
      <c r="H174" s="20"/>
      <c r="I174" s="20" t="s">
        <v>2421</v>
      </c>
      <c r="J174" s="19" t="s">
        <v>1357</v>
      </c>
      <c r="K174" s="19" t="s">
        <v>2422</v>
      </c>
      <c r="L174" s="20" t="s">
        <v>2116</v>
      </c>
      <c r="M174" s="21"/>
      <c r="N174" s="20"/>
      <c r="O174" s="20"/>
      <c r="P174" s="20"/>
      <c r="Q174" s="20"/>
      <c r="R174" s="21" t="s">
        <v>1330</v>
      </c>
      <c r="S174" s="20"/>
      <c r="T174" s="20"/>
      <c r="U174" s="20" t="s">
        <v>2370</v>
      </c>
      <c r="V174" s="20"/>
      <c r="W174" s="20"/>
      <c r="X174" s="20"/>
      <c r="Y174" s="20"/>
    </row>
    <row r="175" spans="1:25" ht="13.5" customHeight="1">
      <c r="A175" s="12">
        <v>173</v>
      </c>
      <c r="B175" s="19" t="s">
        <v>53</v>
      </c>
      <c r="C175" s="19" t="s">
        <v>1195</v>
      </c>
      <c r="D175" s="20"/>
      <c r="E175" s="19" t="s">
        <v>1323</v>
      </c>
      <c r="F175" s="21" t="s">
        <v>1326</v>
      </c>
      <c r="G175" s="21" t="s">
        <v>1327</v>
      </c>
      <c r="H175" s="20"/>
      <c r="I175" s="20" t="s">
        <v>2423</v>
      </c>
      <c r="J175" s="19" t="s">
        <v>1363</v>
      </c>
      <c r="K175" s="19" t="s">
        <v>2424</v>
      </c>
      <c r="L175" s="20" t="s">
        <v>2002</v>
      </c>
      <c r="M175" s="21" t="s">
        <v>1329</v>
      </c>
      <c r="N175" s="20"/>
      <c r="O175" s="20"/>
      <c r="P175" s="20"/>
      <c r="Q175" s="20"/>
      <c r="R175" s="21" t="s">
        <v>1330</v>
      </c>
      <c r="S175" s="20"/>
      <c r="T175" s="20"/>
      <c r="U175" s="20" t="s">
        <v>2370</v>
      </c>
      <c r="V175" s="20"/>
      <c r="W175" s="20"/>
      <c r="X175" s="20"/>
      <c r="Y175" s="20"/>
    </row>
    <row r="176" spans="1:25" ht="13.5" customHeight="1">
      <c r="A176" s="12">
        <v>174</v>
      </c>
      <c r="B176" s="19" t="s">
        <v>53</v>
      </c>
      <c r="C176" s="19" t="s">
        <v>1195</v>
      </c>
      <c r="D176" s="20"/>
      <c r="E176" s="19" t="s">
        <v>1366</v>
      </c>
      <c r="F176" s="21" t="s">
        <v>1369</v>
      </c>
      <c r="G176" s="21" t="s">
        <v>1370</v>
      </c>
      <c r="H176" s="20"/>
      <c r="I176" s="20" t="s">
        <v>2425</v>
      </c>
      <c r="J176" s="19" t="s">
        <v>1368</v>
      </c>
      <c r="K176" s="19" t="s">
        <v>2426</v>
      </c>
      <c r="L176" s="20" t="s">
        <v>2002</v>
      </c>
      <c r="M176" s="21" t="s">
        <v>1372</v>
      </c>
      <c r="N176" s="20"/>
      <c r="O176" s="20"/>
      <c r="P176" s="20"/>
      <c r="Q176" s="20"/>
      <c r="R176" s="21" t="s">
        <v>1373</v>
      </c>
      <c r="S176" s="20"/>
      <c r="T176" s="20"/>
      <c r="U176" s="20" t="s">
        <v>2370</v>
      </c>
      <c r="V176" s="20"/>
      <c r="W176" s="20"/>
      <c r="X176" s="20"/>
      <c r="Y176" s="20"/>
    </row>
    <row r="177" spans="1:25" ht="13.5" customHeight="1">
      <c r="A177" s="12">
        <v>175</v>
      </c>
      <c r="B177" s="19" t="s">
        <v>53</v>
      </c>
      <c r="C177" s="19" t="s">
        <v>1195</v>
      </c>
      <c r="D177" s="20"/>
      <c r="E177" s="19" t="s">
        <v>1366</v>
      </c>
      <c r="F177" s="21" t="s">
        <v>1369</v>
      </c>
      <c r="G177" s="21" t="s">
        <v>1370</v>
      </c>
      <c r="H177" s="20"/>
      <c r="I177" s="20" t="s">
        <v>2427</v>
      </c>
      <c r="J177" s="19" t="s">
        <v>1376</v>
      </c>
      <c r="K177" s="19" t="s">
        <v>2428</v>
      </c>
      <c r="L177" s="20" t="s">
        <v>2002</v>
      </c>
      <c r="M177" s="21" t="s">
        <v>1372</v>
      </c>
      <c r="N177" s="20"/>
      <c r="O177" s="20"/>
      <c r="P177" s="20"/>
      <c r="Q177" s="20"/>
      <c r="R177" s="21" t="s">
        <v>1373</v>
      </c>
      <c r="S177" s="20"/>
      <c r="T177" s="20"/>
      <c r="U177" s="20" t="s">
        <v>2370</v>
      </c>
      <c r="V177" s="20"/>
      <c r="W177" s="20"/>
      <c r="X177" s="20"/>
      <c r="Y177" s="20"/>
    </row>
    <row r="178" spans="1:25" ht="13.5" customHeight="1">
      <c r="A178" s="12">
        <v>176</v>
      </c>
      <c r="B178" s="19" t="s">
        <v>53</v>
      </c>
      <c r="C178" s="19" t="s">
        <v>1195</v>
      </c>
      <c r="D178" s="20"/>
      <c r="E178" s="19" t="s">
        <v>1366</v>
      </c>
      <c r="F178" s="21" t="s">
        <v>1369</v>
      </c>
      <c r="G178" s="21" t="s">
        <v>1370</v>
      </c>
      <c r="H178" s="20"/>
      <c r="I178" s="20" t="s">
        <v>2429</v>
      </c>
      <c r="J178" s="19" t="s">
        <v>1380</v>
      </c>
      <c r="K178" s="19" t="s">
        <v>2430</v>
      </c>
      <c r="L178" s="20" t="s">
        <v>2002</v>
      </c>
      <c r="M178" s="21" t="s">
        <v>1372</v>
      </c>
      <c r="N178" s="20"/>
      <c r="O178" s="20"/>
      <c r="P178" s="20"/>
      <c r="Q178" s="20"/>
      <c r="R178" s="21" t="s">
        <v>1373</v>
      </c>
      <c r="S178" s="20"/>
      <c r="T178" s="20"/>
      <c r="U178" s="20" t="s">
        <v>2370</v>
      </c>
      <c r="V178" s="20"/>
      <c r="W178" s="20"/>
      <c r="X178" s="20"/>
      <c r="Y178" s="20"/>
    </row>
    <row r="179" spans="1:25" ht="13.5" customHeight="1">
      <c r="A179" s="12">
        <v>177</v>
      </c>
      <c r="B179" s="19" t="s">
        <v>53</v>
      </c>
      <c r="C179" s="19" t="s">
        <v>1195</v>
      </c>
      <c r="D179" s="20"/>
      <c r="E179" s="19" t="s">
        <v>1383</v>
      </c>
      <c r="F179" s="21" t="s">
        <v>1386</v>
      </c>
      <c r="G179" s="21" t="s">
        <v>1387</v>
      </c>
      <c r="H179" s="20"/>
      <c r="I179" s="20" t="s">
        <v>2431</v>
      </c>
      <c r="J179" s="19" t="s">
        <v>1385</v>
      </c>
      <c r="K179" s="19" t="s">
        <v>2432</v>
      </c>
      <c r="L179" s="20" t="s">
        <v>2002</v>
      </c>
      <c r="M179" s="21" t="s">
        <v>1389</v>
      </c>
      <c r="N179" s="20"/>
      <c r="O179" s="20"/>
      <c r="P179" s="20"/>
      <c r="Q179" s="20"/>
      <c r="R179" s="21" t="s">
        <v>1390</v>
      </c>
      <c r="S179" s="20"/>
      <c r="T179" s="20"/>
      <c r="U179" s="20" t="s">
        <v>2370</v>
      </c>
      <c r="V179" s="20"/>
      <c r="W179" s="20"/>
      <c r="X179" s="20"/>
      <c r="Y179" s="20"/>
    </row>
    <row r="180" spans="1:25" ht="13.5" customHeight="1">
      <c r="A180" s="12">
        <v>178</v>
      </c>
      <c r="B180" s="19" t="s">
        <v>53</v>
      </c>
      <c r="C180" s="19" t="s">
        <v>1195</v>
      </c>
      <c r="D180" s="20"/>
      <c r="E180" s="19" t="s">
        <v>1392</v>
      </c>
      <c r="F180" s="21" t="s">
        <v>1394</v>
      </c>
      <c r="G180" s="21" t="s">
        <v>1395</v>
      </c>
      <c r="H180" s="20"/>
      <c r="I180" s="20" t="s">
        <v>2433</v>
      </c>
      <c r="J180" s="19" t="s">
        <v>1392</v>
      </c>
      <c r="K180" s="19" t="s">
        <v>2434</v>
      </c>
      <c r="L180" s="20" t="s">
        <v>2002</v>
      </c>
      <c r="M180" s="21" t="s">
        <v>1397</v>
      </c>
      <c r="N180" s="20"/>
      <c r="O180" s="20"/>
      <c r="P180" s="20"/>
      <c r="Q180" s="20"/>
      <c r="R180" s="21" t="s">
        <v>1398</v>
      </c>
      <c r="S180" s="20"/>
      <c r="T180" s="20"/>
      <c r="U180" s="20" t="s">
        <v>2370</v>
      </c>
      <c r="V180" s="20"/>
      <c r="W180" s="20"/>
      <c r="X180" s="20"/>
      <c r="Y180" s="20"/>
    </row>
    <row r="181" spans="1:25" ht="13.5" customHeight="1">
      <c r="A181" s="12">
        <v>179</v>
      </c>
      <c r="B181" s="19" t="s">
        <v>53</v>
      </c>
      <c r="C181" s="19" t="s">
        <v>1195</v>
      </c>
      <c r="D181" s="20"/>
      <c r="E181" s="19" t="s">
        <v>994</v>
      </c>
      <c r="F181" s="21"/>
      <c r="G181" s="21"/>
      <c r="H181" s="20"/>
      <c r="I181" s="20" t="s">
        <v>2435</v>
      </c>
      <c r="J181" s="19" t="s">
        <v>1401</v>
      </c>
      <c r="K181" s="19" t="s">
        <v>2436</v>
      </c>
      <c r="L181" s="20" t="s">
        <v>2116</v>
      </c>
      <c r="M181" s="21"/>
      <c r="N181" s="20"/>
      <c r="O181" s="20"/>
      <c r="P181" s="20"/>
      <c r="Q181" s="20"/>
      <c r="R181" s="21" t="s">
        <v>1405</v>
      </c>
      <c r="S181" s="20"/>
      <c r="T181" s="20"/>
      <c r="U181" s="20" t="s">
        <v>2370</v>
      </c>
      <c r="V181" s="20"/>
      <c r="W181" s="20"/>
      <c r="X181" s="20"/>
      <c r="Y181" s="20"/>
    </row>
    <row r="182" spans="1:25" ht="13.5" customHeight="1">
      <c r="A182" s="12">
        <v>180</v>
      </c>
      <c r="B182" s="19" t="s">
        <v>53</v>
      </c>
      <c r="C182" s="19" t="s">
        <v>1195</v>
      </c>
      <c r="D182" s="20"/>
      <c r="E182" s="19" t="s">
        <v>994</v>
      </c>
      <c r="F182" s="21"/>
      <c r="G182" s="21"/>
      <c r="H182" s="20"/>
      <c r="I182" s="20" t="s">
        <v>2437</v>
      </c>
      <c r="J182" s="19" t="s">
        <v>1408</v>
      </c>
      <c r="K182" s="19" t="s">
        <v>2438</v>
      </c>
      <c r="L182" s="20" t="s">
        <v>2116</v>
      </c>
      <c r="M182" s="21"/>
      <c r="N182" s="20"/>
      <c r="O182" s="20"/>
      <c r="P182" s="20"/>
      <c r="Q182" s="20"/>
      <c r="R182" s="21" t="s">
        <v>1405</v>
      </c>
      <c r="S182" s="20"/>
      <c r="T182" s="20"/>
      <c r="U182" s="20" t="s">
        <v>2370</v>
      </c>
      <c r="V182" s="20"/>
      <c r="W182" s="20"/>
      <c r="X182" s="20"/>
      <c r="Y182" s="20"/>
    </row>
    <row r="183" spans="1:25" ht="13.5" customHeight="1">
      <c r="A183" s="12">
        <v>181</v>
      </c>
      <c r="B183" s="19" t="s">
        <v>53</v>
      </c>
      <c r="C183" s="19" t="s">
        <v>1195</v>
      </c>
      <c r="D183" s="20"/>
      <c r="E183" s="19" t="s">
        <v>994</v>
      </c>
      <c r="F183" s="21"/>
      <c r="G183" s="21"/>
      <c r="H183" s="20"/>
      <c r="I183" s="20" t="s">
        <v>2439</v>
      </c>
      <c r="J183" s="19" t="s">
        <v>1414</v>
      </c>
      <c r="K183" s="19" t="s">
        <v>2440</v>
      </c>
      <c r="L183" s="20" t="s">
        <v>2116</v>
      </c>
      <c r="M183" s="21"/>
      <c r="N183" s="20"/>
      <c r="O183" s="20"/>
      <c r="P183" s="20"/>
      <c r="Q183" s="20"/>
      <c r="R183" s="21" t="s">
        <v>1405</v>
      </c>
      <c r="S183" s="20"/>
      <c r="T183" s="20"/>
      <c r="U183" s="20" t="s">
        <v>2370</v>
      </c>
      <c r="V183" s="20"/>
      <c r="W183" s="20"/>
      <c r="X183" s="20"/>
      <c r="Y183" s="20"/>
    </row>
    <row r="184" spans="1:25" ht="13.5" customHeight="1">
      <c r="A184" s="12">
        <v>182</v>
      </c>
      <c r="B184" s="22" t="s">
        <v>53</v>
      </c>
      <c r="C184" s="22" t="s">
        <v>1419</v>
      </c>
      <c r="D184" s="23" t="s">
        <v>1420</v>
      </c>
      <c r="E184" s="23" t="s">
        <v>1420</v>
      </c>
      <c r="F184" s="24" t="s">
        <v>1423</v>
      </c>
      <c r="G184" s="24" t="s">
        <v>1424</v>
      </c>
      <c r="H184" s="25"/>
      <c r="I184" s="23" t="s">
        <v>2441</v>
      </c>
      <c r="J184" s="22" t="s">
        <v>1422</v>
      </c>
      <c r="K184" s="22" t="s">
        <v>2442</v>
      </c>
      <c r="L184" s="25"/>
      <c r="M184" s="24" t="s">
        <v>1426</v>
      </c>
      <c r="N184" s="25"/>
      <c r="O184" s="25"/>
      <c r="P184" s="25"/>
      <c r="Q184" s="25"/>
      <c r="R184" s="24" t="s">
        <v>1427</v>
      </c>
      <c r="S184" s="25"/>
      <c r="T184" s="25"/>
      <c r="U184" s="23" t="s">
        <v>2443</v>
      </c>
      <c r="V184" s="25"/>
      <c r="W184" s="25"/>
      <c r="X184" s="25"/>
      <c r="Y184" s="25"/>
    </row>
    <row r="185" spans="1:25" ht="13.5" customHeight="1">
      <c r="A185" s="12">
        <v>183</v>
      </c>
      <c r="B185" s="22" t="s">
        <v>53</v>
      </c>
      <c r="C185" s="22" t="s">
        <v>1419</v>
      </c>
      <c r="D185" s="23" t="s">
        <v>1420</v>
      </c>
      <c r="E185" s="23" t="s">
        <v>1420</v>
      </c>
      <c r="F185" s="24" t="s">
        <v>1423</v>
      </c>
      <c r="G185" s="24" t="s">
        <v>1424</v>
      </c>
      <c r="H185" s="25"/>
      <c r="I185" s="23" t="s">
        <v>2444</v>
      </c>
      <c r="J185" s="22" t="s">
        <v>1430</v>
      </c>
      <c r="K185" s="22" t="s">
        <v>2445</v>
      </c>
      <c r="L185" s="25"/>
      <c r="M185" s="24" t="s">
        <v>1426</v>
      </c>
      <c r="N185" s="25"/>
      <c r="O185" s="25"/>
      <c r="P185" s="25"/>
      <c r="Q185" s="25"/>
      <c r="R185" s="24" t="s">
        <v>1427</v>
      </c>
      <c r="S185" s="25"/>
      <c r="T185" s="25"/>
      <c r="U185" s="23" t="s">
        <v>2443</v>
      </c>
      <c r="V185" s="25"/>
      <c r="W185" s="25"/>
      <c r="X185" s="25"/>
      <c r="Y185" s="25"/>
    </row>
    <row r="186" spans="1:25" ht="13.5" customHeight="1">
      <c r="A186" s="12">
        <v>184</v>
      </c>
      <c r="B186" s="22" t="s">
        <v>53</v>
      </c>
      <c r="C186" s="22" t="s">
        <v>1419</v>
      </c>
      <c r="D186" s="23" t="s">
        <v>1420</v>
      </c>
      <c r="E186" s="23" t="s">
        <v>1420</v>
      </c>
      <c r="F186" s="24" t="s">
        <v>1423</v>
      </c>
      <c r="G186" s="24" t="s">
        <v>1424</v>
      </c>
      <c r="H186" s="25"/>
      <c r="I186" s="23" t="s">
        <v>2446</v>
      </c>
      <c r="J186" s="22" t="s">
        <v>1434</v>
      </c>
      <c r="K186" s="22" t="s">
        <v>2447</v>
      </c>
      <c r="L186" s="25"/>
      <c r="M186" s="24" t="s">
        <v>1426</v>
      </c>
      <c r="N186" s="25"/>
      <c r="O186" s="25"/>
      <c r="P186" s="25"/>
      <c r="Q186" s="25"/>
      <c r="R186" s="24" t="s">
        <v>1427</v>
      </c>
      <c r="S186" s="25"/>
      <c r="T186" s="25"/>
      <c r="U186" s="23" t="s">
        <v>2443</v>
      </c>
      <c r="V186" s="25"/>
      <c r="W186" s="25"/>
      <c r="X186" s="25"/>
      <c r="Y186" s="25"/>
    </row>
    <row r="187" spans="1:25" ht="13.5" customHeight="1">
      <c r="A187" s="12">
        <v>185</v>
      </c>
      <c r="B187" s="22" t="s">
        <v>87</v>
      </c>
      <c r="C187" s="22" t="s">
        <v>1419</v>
      </c>
      <c r="D187" s="23" t="s">
        <v>1420</v>
      </c>
      <c r="E187" s="23" t="s">
        <v>1420</v>
      </c>
      <c r="F187" s="24" t="s">
        <v>1439</v>
      </c>
      <c r="G187" s="24" t="s">
        <v>1440</v>
      </c>
      <c r="H187" s="25"/>
      <c r="I187" s="23"/>
      <c r="J187" s="22" t="s">
        <v>1438</v>
      </c>
      <c r="K187" s="22" t="s">
        <v>2448</v>
      </c>
      <c r="L187" s="25"/>
      <c r="M187" s="24" t="s">
        <v>2449</v>
      </c>
      <c r="N187" s="25"/>
      <c r="O187" s="25"/>
      <c r="P187" s="25"/>
      <c r="Q187" s="25"/>
      <c r="R187" s="24"/>
      <c r="S187" s="25"/>
      <c r="T187" s="25"/>
      <c r="U187" s="23" t="s">
        <v>2443</v>
      </c>
      <c r="V187" s="25"/>
      <c r="W187" s="25"/>
      <c r="X187" s="25"/>
      <c r="Y187" s="25"/>
    </row>
    <row r="188" spans="1:25" ht="13.5" customHeight="1">
      <c r="A188" s="12">
        <v>186</v>
      </c>
      <c r="B188" s="22" t="s">
        <v>53</v>
      </c>
      <c r="C188" s="22" t="s">
        <v>1419</v>
      </c>
      <c r="D188" s="23" t="s">
        <v>1420</v>
      </c>
      <c r="E188" s="23" t="s">
        <v>1420</v>
      </c>
      <c r="F188" s="24" t="s">
        <v>1423</v>
      </c>
      <c r="G188" s="24" t="s">
        <v>1424</v>
      </c>
      <c r="H188" s="25"/>
      <c r="I188" s="23" t="s">
        <v>2450</v>
      </c>
      <c r="J188" s="22" t="s">
        <v>1445</v>
      </c>
      <c r="K188" s="22" t="s">
        <v>2451</v>
      </c>
      <c r="L188" s="25"/>
      <c r="M188" s="24" t="s">
        <v>1426</v>
      </c>
      <c r="N188" s="25"/>
      <c r="O188" s="25"/>
      <c r="P188" s="25"/>
      <c r="Q188" s="25"/>
      <c r="R188" s="24" t="s">
        <v>1427</v>
      </c>
      <c r="S188" s="25"/>
      <c r="T188" s="25"/>
      <c r="U188" s="23" t="s">
        <v>2443</v>
      </c>
      <c r="V188" s="25"/>
      <c r="W188" s="25"/>
      <c r="X188" s="25"/>
      <c r="Y188" s="25"/>
    </row>
    <row r="189" spans="1:25" ht="13.5" customHeight="1">
      <c r="A189" s="12">
        <v>187</v>
      </c>
      <c r="B189" s="22" t="s">
        <v>53</v>
      </c>
      <c r="C189" s="22" t="s">
        <v>1419</v>
      </c>
      <c r="D189" s="23" t="s">
        <v>1420</v>
      </c>
      <c r="E189" s="23" t="s">
        <v>1420</v>
      </c>
      <c r="F189" s="24" t="s">
        <v>1423</v>
      </c>
      <c r="G189" s="24" t="s">
        <v>1424</v>
      </c>
      <c r="H189" s="25"/>
      <c r="I189" s="23" t="s">
        <v>2452</v>
      </c>
      <c r="J189" s="22" t="s">
        <v>1449</v>
      </c>
      <c r="K189" s="22" t="s">
        <v>2453</v>
      </c>
      <c r="L189" s="25"/>
      <c r="M189" s="24" t="s">
        <v>1426</v>
      </c>
      <c r="N189" s="25"/>
      <c r="O189" s="25"/>
      <c r="P189" s="25"/>
      <c r="Q189" s="25"/>
      <c r="R189" s="24" t="s">
        <v>1427</v>
      </c>
      <c r="S189" s="25"/>
      <c r="T189" s="25"/>
      <c r="U189" s="23" t="s">
        <v>2443</v>
      </c>
      <c r="V189" s="25"/>
      <c r="W189" s="25"/>
      <c r="X189" s="25"/>
      <c r="Y189" s="25"/>
    </row>
    <row r="190" spans="1:25" ht="13.5" customHeight="1">
      <c r="A190" s="12">
        <v>188</v>
      </c>
      <c r="B190" s="22" t="s">
        <v>53</v>
      </c>
      <c r="C190" s="22" t="s">
        <v>1419</v>
      </c>
      <c r="D190" s="23" t="s">
        <v>1420</v>
      </c>
      <c r="E190" s="23" t="s">
        <v>1420</v>
      </c>
      <c r="F190" s="24" t="s">
        <v>1423</v>
      </c>
      <c r="G190" s="24" t="s">
        <v>1424</v>
      </c>
      <c r="H190" s="25"/>
      <c r="I190" s="23" t="s">
        <v>2454</v>
      </c>
      <c r="J190" s="22" t="s">
        <v>1453</v>
      </c>
      <c r="K190" s="22" t="s">
        <v>2455</v>
      </c>
      <c r="L190" s="25"/>
      <c r="M190" s="24" t="s">
        <v>1426</v>
      </c>
      <c r="N190" s="25"/>
      <c r="O190" s="25"/>
      <c r="P190" s="25"/>
      <c r="Q190" s="25"/>
      <c r="R190" s="24" t="s">
        <v>1427</v>
      </c>
      <c r="S190" s="25"/>
      <c r="T190" s="25"/>
      <c r="U190" s="23" t="s">
        <v>2443</v>
      </c>
      <c r="V190" s="25"/>
      <c r="W190" s="25"/>
      <c r="X190" s="25"/>
      <c r="Y190" s="25"/>
    </row>
    <row r="191" spans="1:25" ht="13.5" customHeight="1">
      <c r="A191" s="12">
        <v>189</v>
      </c>
      <c r="B191" s="22" t="s">
        <v>53</v>
      </c>
      <c r="C191" s="22" t="s">
        <v>1419</v>
      </c>
      <c r="D191" s="23" t="s">
        <v>1420</v>
      </c>
      <c r="E191" s="23" t="s">
        <v>1420</v>
      </c>
      <c r="F191" s="24" t="s">
        <v>1423</v>
      </c>
      <c r="G191" s="24" t="s">
        <v>1424</v>
      </c>
      <c r="H191" s="25"/>
      <c r="I191" s="23" t="s">
        <v>2456</v>
      </c>
      <c r="J191" s="22" t="s">
        <v>1457</v>
      </c>
      <c r="K191" s="22" t="s">
        <v>2457</v>
      </c>
      <c r="L191" s="25"/>
      <c r="M191" s="24" t="s">
        <v>1426</v>
      </c>
      <c r="N191" s="25"/>
      <c r="O191" s="25"/>
      <c r="P191" s="25"/>
      <c r="Q191" s="25"/>
      <c r="R191" s="24" t="s">
        <v>1427</v>
      </c>
      <c r="S191" s="25"/>
      <c r="T191" s="25"/>
      <c r="U191" s="23" t="s">
        <v>2443</v>
      </c>
      <c r="V191" s="25"/>
      <c r="W191" s="25"/>
      <c r="X191" s="25"/>
      <c r="Y191" s="25"/>
    </row>
    <row r="192" spans="1:25" ht="13.5" customHeight="1">
      <c r="A192" s="12">
        <v>190</v>
      </c>
      <c r="B192" s="22" t="s">
        <v>53</v>
      </c>
      <c r="C192" s="22" t="s">
        <v>1419</v>
      </c>
      <c r="D192" s="23" t="s">
        <v>1460</v>
      </c>
      <c r="E192" s="23" t="s">
        <v>1460</v>
      </c>
      <c r="F192" s="24" t="s">
        <v>1463</v>
      </c>
      <c r="G192" s="24" t="s">
        <v>1464</v>
      </c>
      <c r="H192" s="25"/>
      <c r="I192" s="23" t="s">
        <v>2458</v>
      </c>
      <c r="J192" s="22" t="s">
        <v>1462</v>
      </c>
      <c r="K192" s="22" t="s">
        <v>2459</v>
      </c>
      <c r="L192" s="25"/>
      <c r="M192" s="24" t="s">
        <v>1466</v>
      </c>
      <c r="N192" s="25"/>
      <c r="O192" s="25"/>
      <c r="P192" s="25"/>
      <c r="Q192" s="25"/>
      <c r="R192" s="24" t="s">
        <v>1467</v>
      </c>
      <c r="S192" s="25"/>
      <c r="T192" s="25"/>
      <c r="U192" s="23" t="s">
        <v>2443</v>
      </c>
      <c r="V192" s="25"/>
      <c r="W192" s="25"/>
      <c r="X192" s="25"/>
      <c r="Y192" s="25"/>
    </row>
    <row r="193" spans="1:25" ht="13.5" customHeight="1">
      <c r="A193" s="12">
        <v>191</v>
      </c>
      <c r="B193" s="22" t="s">
        <v>53</v>
      </c>
      <c r="C193" s="22" t="s">
        <v>1419</v>
      </c>
      <c r="D193" s="23" t="s">
        <v>1460</v>
      </c>
      <c r="E193" s="23" t="s">
        <v>1460</v>
      </c>
      <c r="F193" s="24" t="s">
        <v>1463</v>
      </c>
      <c r="G193" s="24" t="s">
        <v>1464</v>
      </c>
      <c r="H193" s="25"/>
      <c r="I193" s="23" t="s">
        <v>2460</v>
      </c>
      <c r="J193" s="22" t="s">
        <v>1470</v>
      </c>
      <c r="K193" s="22" t="s">
        <v>2461</v>
      </c>
      <c r="L193" s="25"/>
      <c r="M193" s="24" t="s">
        <v>1466</v>
      </c>
      <c r="N193" s="25"/>
      <c r="O193" s="25"/>
      <c r="P193" s="25"/>
      <c r="Q193" s="25"/>
      <c r="R193" s="24" t="s">
        <v>1467</v>
      </c>
      <c r="S193" s="25"/>
      <c r="T193" s="25"/>
      <c r="U193" s="23" t="s">
        <v>2443</v>
      </c>
      <c r="V193" s="25"/>
      <c r="W193" s="25"/>
      <c r="X193" s="25"/>
      <c r="Y193" s="25"/>
    </row>
    <row r="194" spans="1:25" ht="13.5" customHeight="1">
      <c r="A194" s="12">
        <v>192</v>
      </c>
      <c r="B194" s="22" t="s">
        <v>87</v>
      </c>
      <c r="C194" s="22" t="s">
        <v>1419</v>
      </c>
      <c r="D194" s="23" t="s">
        <v>1460</v>
      </c>
      <c r="E194" s="23" t="s">
        <v>1460</v>
      </c>
      <c r="F194" s="24" t="s">
        <v>1475</v>
      </c>
      <c r="G194" s="24" t="s">
        <v>1476</v>
      </c>
      <c r="H194" s="25"/>
      <c r="I194" s="23"/>
      <c r="J194" s="22" t="s">
        <v>1474</v>
      </c>
      <c r="K194" s="22" t="s">
        <v>2462</v>
      </c>
      <c r="L194" s="25"/>
      <c r="M194" s="24" t="s">
        <v>2463</v>
      </c>
      <c r="N194" s="25"/>
      <c r="O194" s="25"/>
      <c r="P194" s="25"/>
      <c r="Q194" s="25"/>
      <c r="R194" s="24"/>
      <c r="S194" s="25"/>
      <c r="T194" s="25"/>
      <c r="U194" s="23" t="s">
        <v>2443</v>
      </c>
      <c r="V194" s="25"/>
      <c r="W194" s="25"/>
      <c r="X194" s="25"/>
      <c r="Y194" s="25"/>
    </row>
    <row r="195" spans="1:25" ht="13.5" customHeight="1">
      <c r="A195" s="12">
        <v>193</v>
      </c>
      <c r="B195" s="22" t="s">
        <v>53</v>
      </c>
      <c r="C195" s="22" t="s">
        <v>1419</v>
      </c>
      <c r="D195" s="23" t="s">
        <v>1460</v>
      </c>
      <c r="E195" s="23" t="s">
        <v>1460</v>
      </c>
      <c r="F195" s="24" t="s">
        <v>1463</v>
      </c>
      <c r="G195" s="24" t="s">
        <v>1464</v>
      </c>
      <c r="H195" s="25"/>
      <c r="I195" s="23" t="s">
        <v>2464</v>
      </c>
      <c r="J195" s="22" t="s">
        <v>1481</v>
      </c>
      <c r="K195" s="22" t="s">
        <v>2465</v>
      </c>
      <c r="L195" s="25"/>
      <c r="M195" s="24" t="s">
        <v>1466</v>
      </c>
      <c r="N195" s="25"/>
      <c r="O195" s="25"/>
      <c r="P195" s="25"/>
      <c r="Q195" s="25"/>
      <c r="R195" s="24" t="s">
        <v>1467</v>
      </c>
      <c r="S195" s="25"/>
      <c r="T195" s="25"/>
      <c r="U195" s="23" t="s">
        <v>2443</v>
      </c>
      <c r="V195" s="25"/>
      <c r="W195" s="25"/>
      <c r="X195" s="25"/>
      <c r="Y195" s="25"/>
    </row>
    <row r="196" spans="1:25" ht="13.5" customHeight="1">
      <c r="A196" s="12">
        <v>194</v>
      </c>
      <c r="B196" s="22" t="s">
        <v>53</v>
      </c>
      <c r="C196" s="22" t="s">
        <v>1419</v>
      </c>
      <c r="D196" s="23" t="s">
        <v>1460</v>
      </c>
      <c r="E196" s="23" t="s">
        <v>1460</v>
      </c>
      <c r="F196" s="24" t="s">
        <v>1463</v>
      </c>
      <c r="G196" s="24" t="s">
        <v>1464</v>
      </c>
      <c r="H196" s="25"/>
      <c r="I196" s="23" t="s">
        <v>2466</v>
      </c>
      <c r="J196" s="22" t="s">
        <v>1485</v>
      </c>
      <c r="K196" s="22" t="s">
        <v>2467</v>
      </c>
      <c r="L196" s="25"/>
      <c r="M196" s="24" t="s">
        <v>1466</v>
      </c>
      <c r="N196" s="25"/>
      <c r="O196" s="25"/>
      <c r="P196" s="25"/>
      <c r="Q196" s="25"/>
      <c r="R196" s="24" t="s">
        <v>1467</v>
      </c>
      <c r="S196" s="25"/>
      <c r="T196" s="25"/>
      <c r="U196" s="23" t="s">
        <v>2443</v>
      </c>
      <c r="V196" s="25"/>
      <c r="W196" s="25"/>
      <c r="X196" s="25"/>
      <c r="Y196" s="25"/>
    </row>
    <row r="197" spans="1:25" ht="13.5" customHeight="1">
      <c r="A197" s="12">
        <v>195</v>
      </c>
      <c r="B197" s="22" t="s">
        <v>53</v>
      </c>
      <c r="C197" s="22" t="s">
        <v>1419</v>
      </c>
      <c r="D197" s="23" t="s">
        <v>1460</v>
      </c>
      <c r="E197" s="23" t="s">
        <v>1460</v>
      </c>
      <c r="F197" s="24" t="s">
        <v>1463</v>
      </c>
      <c r="G197" s="24" t="s">
        <v>1464</v>
      </c>
      <c r="H197" s="25"/>
      <c r="I197" s="23" t="s">
        <v>2468</v>
      </c>
      <c r="J197" s="22" t="s">
        <v>1489</v>
      </c>
      <c r="K197" s="22" t="s">
        <v>2469</v>
      </c>
      <c r="L197" s="25"/>
      <c r="M197" s="24" t="s">
        <v>1466</v>
      </c>
      <c r="N197" s="25"/>
      <c r="O197" s="25"/>
      <c r="P197" s="25"/>
      <c r="Q197" s="25"/>
      <c r="R197" s="24" t="s">
        <v>1467</v>
      </c>
      <c r="S197" s="25"/>
      <c r="T197" s="25"/>
      <c r="U197" s="23" t="s">
        <v>2443</v>
      </c>
      <c r="V197" s="25"/>
      <c r="W197" s="25"/>
      <c r="X197" s="25"/>
      <c r="Y197" s="25"/>
    </row>
    <row r="198" spans="1:25" ht="13.5" customHeight="1">
      <c r="A198" s="12">
        <v>196</v>
      </c>
      <c r="B198" s="22" t="s">
        <v>53</v>
      </c>
      <c r="C198" s="22" t="s">
        <v>1419</v>
      </c>
      <c r="D198" s="23" t="s">
        <v>1460</v>
      </c>
      <c r="E198" s="23" t="s">
        <v>1460</v>
      </c>
      <c r="F198" s="24" t="s">
        <v>1463</v>
      </c>
      <c r="G198" s="24" t="s">
        <v>1464</v>
      </c>
      <c r="H198" s="25"/>
      <c r="I198" s="23" t="s">
        <v>2470</v>
      </c>
      <c r="J198" s="22" t="s">
        <v>1493</v>
      </c>
      <c r="K198" s="22" t="s">
        <v>2471</v>
      </c>
      <c r="L198" s="25"/>
      <c r="M198" s="24" t="s">
        <v>1466</v>
      </c>
      <c r="N198" s="25"/>
      <c r="O198" s="25"/>
      <c r="P198" s="25"/>
      <c r="Q198" s="25"/>
      <c r="R198" s="24" t="s">
        <v>1467</v>
      </c>
      <c r="S198" s="25"/>
      <c r="T198" s="25"/>
      <c r="U198" s="23" t="s">
        <v>2443</v>
      </c>
      <c r="V198" s="25"/>
      <c r="W198" s="25"/>
      <c r="X198" s="25"/>
      <c r="Y198" s="25"/>
    </row>
    <row r="199" spans="1:25" ht="13.5" customHeight="1">
      <c r="A199" s="12">
        <v>197</v>
      </c>
      <c r="B199" s="22" t="s">
        <v>53</v>
      </c>
      <c r="C199" s="22" t="s">
        <v>1419</v>
      </c>
      <c r="D199" s="23" t="s">
        <v>1460</v>
      </c>
      <c r="E199" s="23" t="s">
        <v>1460</v>
      </c>
      <c r="F199" s="24" t="s">
        <v>1463</v>
      </c>
      <c r="G199" s="24" t="s">
        <v>1464</v>
      </c>
      <c r="H199" s="25"/>
      <c r="I199" s="23" t="s">
        <v>2472</v>
      </c>
      <c r="J199" s="22" t="s">
        <v>1497</v>
      </c>
      <c r="K199" s="22" t="s">
        <v>2473</v>
      </c>
      <c r="L199" s="25"/>
      <c r="M199" s="24" t="s">
        <v>1466</v>
      </c>
      <c r="N199" s="25"/>
      <c r="O199" s="25"/>
      <c r="P199" s="25"/>
      <c r="Q199" s="25"/>
      <c r="R199" s="24" t="s">
        <v>1467</v>
      </c>
      <c r="S199" s="25"/>
      <c r="T199" s="25"/>
      <c r="U199" s="23" t="s">
        <v>2443</v>
      </c>
      <c r="V199" s="25"/>
      <c r="W199" s="25"/>
      <c r="X199" s="25"/>
      <c r="Y199" s="25"/>
    </row>
    <row r="200" spans="1:25" ht="13.5" customHeight="1">
      <c r="A200" s="12">
        <v>198</v>
      </c>
      <c r="B200" s="22" t="s">
        <v>53</v>
      </c>
      <c r="C200" s="22" t="s">
        <v>1419</v>
      </c>
      <c r="D200" s="23" t="s">
        <v>1460</v>
      </c>
      <c r="E200" s="23" t="s">
        <v>1460</v>
      </c>
      <c r="F200" s="24" t="s">
        <v>1463</v>
      </c>
      <c r="G200" s="24" t="s">
        <v>1464</v>
      </c>
      <c r="H200" s="25"/>
      <c r="I200" s="23" t="s">
        <v>2474</v>
      </c>
      <c r="J200" s="22" t="s">
        <v>1501</v>
      </c>
      <c r="K200" s="22" t="s">
        <v>2475</v>
      </c>
      <c r="L200" s="25"/>
      <c r="M200" s="24" t="s">
        <v>1466</v>
      </c>
      <c r="N200" s="25"/>
      <c r="O200" s="25"/>
      <c r="P200" s="25"/>
      <c r="Q200" s="25"/>
      <c r="R200" s="24" t="s">
        <v>1467</v>
      </c>
      <c r="S200" s="25"/>
      <c r="T200" s="25"/>
      <c r="U200" s="23" t="s">
        <v>2443</v>
      </c>
      <c r="V200" s="25"/>
      <c r="W200" s="25"/>
      <c r="X200" s="25"/>
      <c r="Y200" s="25"/>
    </row>
    <row r="201" spans="1:25" ht="13.5" customHeight="1">
      <c r="A201" s="12">
        <v>199</v>
      </c>
      <c r="B201" s="22" t="s">
        <v>53</v>
      </c>
      <c r="C201" s="22" t="s">
        <v>1419</v>
      </c>
      <c r="D201" s="23" t="s">
        <v>1504</v>
      </c>
      <c r="E201" s="23" t="s">
        <v>1504</v>
      </c>
      <c r="F201" s="24" t="s">
        <v>1507</v>
      </c>
      <c r="G201" s="24" t="s">
        <v>1508</v>
      </c>
      <c r="H201" s="25"/>
      <c r="I201" s="23" t="s">
        <v>2476</v>
      </c>
      <c r="J201" s="22" t="s">
        <v>1506</v>
      </c>
      <c r="K201" s="22" t="s">
        <v>2477</v>
      </c>
      <c r="L201" s="25"/>
      <c r="M201" s="24" t="s">
        <v>1510</v>
      </c>
      <c r="N201" s="25"/>
      <c r="O201" s="25"/>
      <c r="P201" s="25"/>
      <c r="Q201" s="25"/>
      <c r="R201" s="24" t="s">
        <v>1511</v>
      </c>
      <c r="S201" s="25"/>
      <c r="T201" s="25"/>
      <c r="U201" s="23" t="s">
        <v>2443</v>
      </c>
      <c r="V201" s="25"/>
      <c r="W201" s="25"/>
      <c r="X201" s="25"/>
      <c r="Y201" s="25"/>
    </row>
    <row r="202" spans="1:25" ht="13.5" customHeight="1">
      <c r="A202" s="12">
        <v>200</v>
      </c>
      <c r="B202" s="22" t="s">
        <v>87</v>
      </c>
      <c r="C202" s="22" t="s">
        <v>1419</v>
      </c>
      <c r="D202" s="23" t="s">
        <v>1504</v>
      </c>
      <c r="E202" s="23" t="s">
        <v>1504</v>
      </c>
      <c r="F202" s="24" t="s">
        <v>1515</v>
      </c>
      <c r="G202" s="24" t="s">
        <v>1516</v>
      </c>
      <c r="H202" s="25"/>
      <c r="I202" s="23"/>
      <c r="J202" s="22" t="s">
        <v>1514</v>
      </c>
      <c r="K202" s="22" t="s">
        <v>2478</v>
      </c>
      <c r="L202" s="25"/>
      <c r="M202" s="24" t="s">
        <v>2479</v>
      </c>
      <c r="N202" s="25"/>
      <c r="O202" s="25"/>
      <c r="P202" s="25"/>
      <c r="Q202" s="25"/>
      <c r="R202" s="24"/>
      <c r="S202" s="25"/>
      <c r="T202" s="25"/>
      <c r="U202" s="23" t="s">
        <v>2443</v>
      </c>
      <c r="V202" s="25"/>
      <c r="W202" s="25"/>
      <c r="X202" s="25"/>
      <c r="Y202" s="25"/>
    </row>
    <row r="203" spans="1:25" ht="13.5" customHeight="1">
      <c r="A203" s="12">
        <v>201</v>
      </c>
      <c r="B203" s="22" t="s">
        <v>53</v>
      </c>
      <c r="C203" s="22" t="s">
        <v>1419</v>
      </c>
      <c r="D203" s="23" t="s">
        <v>1504</v>
      </c>
      <c r="E203" s="23" t="s">
        <v>1504</v>
      </c>
      <c r="F203" s="24" t="s">
        <v>1507</v>
      </c>
      <c r="G203" s="24" t="s">
        <v>1508</v>
      </c>
      <c r="H203" s="25"/>
      <c r="I203" s="23" t="s">
        <v>2480</v>
      </c>
      <c r="J203" s="22" t="s">
        <v>1521</v>
      </c>
      <c r="K203" s="22" t="s">
        <v>2481</v>
      </c>
      <c r="L203" s="25"/>
      <c r="M203" s="24" t="s">
        <v>1510</v>
      </c>
      <c r="N203" s="25"/>
      <c r="O203" s="25"/>
      <c r="P203" s="25"/>
      <c r="Q203" s="25"/>
      <c r="R203" s="24" t="s">
        <v>1511</v>
      </c>
      <c r="S203" s="25"/>
      <c r="T203" s="25"/>
      <c r="U203" s="23" t="s">
        <v>2443</v>
      </c>
      <c r="V203" s="25"/>
      <c r="W203" s="25"/>
      <c r="X203" s="25"/>
      <c r="Y203" s="25"/>
    </row>
    <row r="204" spans="1:25" ht="13.5" customHeight="1">
      <c r="A204" s="12">
        <v>202</v>
      </c>
      <c r="B204" s="22" t="s">
        <v>53</v>
      </c>
      <c r="C204" s="22" t="s">
        <v>1419</v>
      </c>
      <c r="D204" s="23" t="s">
        <v>1504</v>
      </c>
      <c r="E204" s="23" t="s">
        <v>1504</v>
      </c>
      <c r="F204" s="24" t="s">
        <v>1507</v>
      </c>
      <c r="G204" s="24" t="s">
        <v>1508</v>
      </c>
      <c r="H204" s="25"/>
      <c r="I204" s="23" t="s">
        <v>2482</v>
      </c>
      <c r="J204" s="22" t="s">
        <v>1525</v>
      </c>
      <c r="K204" s="22" t="s">
        <v>2483</v>
      </c>
      <c r="L204" s="25"/>
      <c r="M204" s="24" t="s">
        <v>1510</v>
      </c>
      <c r="N204" s="25"/>
      <c r="O204" s="25"/>
      <c r="P204" s="25"/>
      <c r="Q204" s="25"/>
      <c r="R204" s="24" t="s">
        <v>1511</v>
      </c>
      <c r="S204" s="25"/>
      <c r="T204" s="25"/>
      <c r="U204" s="23" t="s">
        <v>2443</v>
      </c>
      <c r="V204" s="25"/>
      <c r="W204" s="25"/>
      <c r="X204" s="25"/>
      <c r="Y204" s="25"/>
    </row>
    <row r="205" spans="1:25" ht="13.5" customHeight="1">
      <c r="A205" s="12">
        <v>203</v>
      </c>
      <c r="B205" s="22" t="s">
        <v>53</v>
      </c>
      <c r="C205" s="22" t="s">
        <v>1419</v>
      </c>
      <c r="D205" s="23" t="s">
        <v>1504</v>
      </c>
      <c r="E205" s="23" t="s">
        <v>1504</v>
      </c>
      <c r="F205" s="24" t="s">
        <v>1507</v>
      </c>
      <c r="G205" s="24" t="s">
        <v>1508</v>
      </c>
      <c r="H205" s="25"/>
      <c r="I205" s="23" t="s">
        <v>2484</v>
      </c>
      <c r="J205" s="22" t="s">
        <v>1529</v>
      </c>
      <c r="K205" s="22" t="s">
        <v>2485</v>
      </c>
      <c r="L205" s="25"/>
      <c r="M205" s="24" t="s">
        <v>1510</v>
      </c>
      <c r="N205" s="25"/>
      <c r="O205" s="25"/>
      <c r="P205" s="25"/>
      <c r="Q205" s="25"/>
      <c r="R205" s="24" t="s">
        <v>1511</v>
      </c>
      <c r="S205" s="25"/>
      <c r="T205" s="25"/>
      <c r="U205" s="23" t="s">
        <v>2443</v>
      </c>
      <c r="V205" s="25"/>
      <c r="W205" s="25"/>
      <c r="X205" s="25"/>
      <c r="Y205" s="25"/>
    </row>
    <row r="206" spans="1:25" ht="13.5" customHeight="1">
      <c r="A206" s="12">
        <v>204</v>
      </c>
      <c r="B206" s="22" t="s">
        <v>53</v>
      </c>
      <c r="C206" s="22" t="s">
        <v>1419</v>
      </c>
      <c r="D206" s="23" t="s">
        <v>1504</v>
      </c>
      <c r="E206" s="23" t="s">
        <v>1504</v>
      </c>
      <c r="F206" s="24" t="s">
        <v>1507</v>
      </c>
      <c r="G206" s="24" t="s">
        <v>1508</v>
      </c>
      <c r="H206" s="25"/>
      <c r="I206" s="23" t="s">
        <v>2486</v>
      </c>
      <c r="J206" s="22" t="s">
        <v>1533</v>
      </c>
      <c r="K206" s="22" t="s">
        <v>2487</v>
      </c>
      <c r="L206" s="25"/>
      <c r="M206" s="24" t="s">
        <v>1510</v>
      </c>
      <c r="N206" s="25"/>
      <c r="O206" s="25"/>
      <c r="P206" s="25"/>
      <c r="Q206" s="25"/>
      <c r="R206" s="24" t="s">
        <v>1511</v>
      </c>
      <c r="S206" s="25"/>
      <c r="T206" s="25"/>
      <c r="U206" s="23" t="s">
        <v>2443</v>
      </c>
      <c r="V206" s="25"/>
      <c r="W206" s="25"/>
      <c r="X206" s="25"/>
      <c r="Y206" s="25"/>
    </row>
    <row r="207" spans="1:25" ht="13.5" customHeight="1">
      <c r="A207" s="12">
        <v>205</v>
      </c>
      <c r="B207" s="22" t="s">
        <v>53</v>
      </c>
      <c r="C207" s="22" t="s">
        <v>1419</v>
      </c>
      <c r="D207" s="23" t="s">
        <v>1504</v>
      </c>
      <c r="E207" s="23" t="s">
        <v>1504</v>
      </c>
      <c r="F207" s="24" t="s">
        <v>1507</v>
      </c>
      <c r="G207" s="24" t="s">
        <v>1508</v>
      </c>
      <c r="H207" s="25"/>
      <c r="I207" s="23" t="s">
        <v>2488</v>
      </c>
      <c r="J207" s="22" t="s">
        <v>1537</v>
      </c>
      <c r="K207" s="22" t="s">
        <v>2489</v>
      </c>
      <c r="L207" s="25"/>
      <c r="M207" s="24" t="s">
        <v>1510</v>
      </c>
      <c r="N207" s="25"/>
      <c r="O207" s="25"/>
      <c r="P207" s="25"/>
      <c r="Q207" s="25"/>
      <c r="R207" s="24" t="s">
        <v>1511</v>
      </c>
      <c r="S207" s="25"/>
      <c r="T207" s="25"/>
      <c r="U207" s="23" t="s">
        <v>2443</v>
      </c>
      <c r="V207" s="25"/>
      <c r="W207" s="25"/>
      <c r="X207" s="25"/>
      <c r="Y207" s="25"/>
    </row>
    <row r="208" spans="1:25" ht="13.5" customHeight="1">
      <c r="A208" s="12">
        <v>206</v>
      </c>
      <c r="B208" s="22" t="s">
        <v>53</v>
      </c>
      <c r="C208" s="22" t="s">
        <v>1419</v>
      </c>
      <c r="D208" s="23" t="s">
        <v>1540</v>
      </c>
      <c r="E208" s="23" t="s">
        <v>1540</v>
      </c>
      <c r="F208" s="24" t="s">
        <v>1543</v>
      </c>
      <c r="G208" s="24" t="s">
        <v>1544</v>
      </c>
      <c r="H208" s="25"/>
      <c r="I208" s="23" t="s">
        <v>2490</v>
      </c>
      <c r="J208" s="22" t="s">
        <v>1542</v>
      </c>
      <c r="K208" s="22" t="s">
        <v>2491</v>
      </c>
      <c r="L208" s="25"/>
      <c r="M208" s="24" t="s">
        <v>1546</v>
      </c>
      <c r="N208" s="25"/>
      <c r="O208" s="25"/>
      <c r="P208" s="25"/>
      <c r="Q208" s="25"/>
      <c r="R208" s="24" t="s">
        <v>1547</v>
      </c>
      <c r="S208" s="25"/>
      <c r="T208" s="25"/>
      <c r="U208" s="23" t="s">
        <v>2443</v>
      </c>
      <c r="V208" s="25"/>
      <c r="W208" s="25"/>
      <c r="X208" s="25"/>
      <c r="Y208" s="25"/>
    </row>
    <row r="209" spans="1:25" ht="13.5" customHeight="1">
      <c r="A209" s="12">
        <v>207</v>
      </c>
      <c r="B209" s="22" t="s">
        <v>87</v>
      </c>
      <c r="C209" s="22" t="s">
        <v>1419</v>
      </c>
      <c r="D209" s="23" t="s">
        <v>1540</v>
      </c>
      <c r="E209" s="23" t="s">
        <v>1540</v>
      </c>
      <c r="F209" s="24" t="s">
        <v>1551</v>
      </c>
      <c r="G209" s="24" t="s">
        <v>1552</v>
      </c>
      <c r="H209" s="25"/>
      <c r="I209" s="23"/>
      <c r="J209" s="22" t="s">
        <v>1550</v>
      </c>
      <c r="K209" s="22" t="s">
        <v>2492</v>
      </c>
      <c r="L209" s="25"/>
      <c r="M209" s="22" t="s">
        <v>2493</v>
      </c>
      <c r="N209" s="25"/>
      <c r="O209" s="25"/>
      <c r="P209" s="25"/>
      <c r="Q209" s="25"/>
      <c r="R209" s="24"/>
      <c r="S209" s="25"/>
      <c r="T209" s="25"/>
      <c r="U209" s="23" t="s">
        <v>2443</v>
      </c>
      <c r="V209" s="25"/>
      <c r="W209" s="25"/>
      <c r="X209" s="25"/>
      <c r="Y209" s="25"/>
    </row>
    <row r="210" spans="1:25" ht="13.5" customHeight="1">
      <c r="A210" s="12">
        <v>208</v>
      </c>
      <c r="B210" s="22" t="s">
        <v>53</v>
      </c>
      <c r="C210" s="22" t="s">
        <v>1419</v>
      </c>
      <c r="D210" s="23" t="s">
        <v>1540</v>
      </c>
      <c r="E210" s="23" t="s">
        <v>1540</v>
      </c>
      <c r="F210" s="24" t="s">
        <v>1543</v>
      </c>
      <c r="G210" s="24" t="s">
        <v>1544</v>
      </c>
      <c r="H210" s="25"/>
      <c r="I210" s="23" t="s">
        <v>2494</v>
      </c>
      <c r="J210" s="22" t="s">
        <v>1557</v>
      </c>
      <c r="K210" s="22" t="s">
        <v>2495</v>
      </c>
      <c r="L210" s="25"/>
      <c r="M210" s="24" t="s">
        <v>1546</v>
      </c>
      <c r="N210" s="25"/>
      <c r="O210" s="25"/>
      <c r="P210" s="25"/>
      <c r="Q210" s="25"/>
      <c r="R210" s="24" t="s">
        <v>1547</v>
      </c>
      <c r="S210" s="25"/>
      <c r="T210" s="25"/>
      <c r="U210" s="23" t="s">
        <v>2443</v>
      </c>
      <c r="V210" s="25"/>
      <c r="W210" s="25"/>
      <c r="X210" s="25"/>
      <c r="Y210" s="25"/>
    </row>
    <row r="211" spans="1:25" ht="13.5" customHeight="1">
      <c r="A211" s="12">
        <v>209</v>
      </c>
      <c r="B211" s="22" t="s">
        <v>53</v>
      </c>
      <c r="C211" s="22" t="s">
        <v>1419</v>
      </c>
      <c r="D211" s="23" t="s">
        <v>1540</v>
      </c>
      <c r="E211" s="23" t="s">
        <v>1540</v>
      </c>
      <c r="F211" s="24" t="s">
        <v>1543</v>
      </c>
      <c r="G211" s="24" t="s">
        <v>1544</v>
      </c>
      <c r="H211" s="25"/>
      <c r="I211" s="23" t="s">
        <v>2496</v>
      </c>
      <c r="J211" s="22" t="s">
        <v>1561</v>
      </c>
      <c r="K211" s="22" t="s">
        <v>2497</v>
      </c>
      <c r="L211" s="25"/>
      <c r="M211" s="24" t="s">
        <v>1546</v>
      </c>
      <c r="N211" s="25"/>
      <c r="O211" s="25"/>
      <c r="P211" s="25"/>
      <c r="Q211" s="25"/>
      <c r="R211" s="24" t="s">
        <v>1547</v>
      </c>
      <c r="S211" s="25"/>
      <c r="T211" s="25"/>
      <c r="U211" s="23" t="s">
        <v>2443</v>
      </c>
      <c r="V211" s="25"/>
      <c r="W211" s="25"/>
      <c r="X211" s="25"/>
      <c r="Y211" s="25"/>
    </row>
    <row r="212" spans="1:25" ht="13.5" customHeight="1">
      <c r="A212" s="12">
        <v>210</v>
      </c>
      <c r="B212" s="22" t="s">
        <v>53</v>
      </c>
      <c r="C212" s="22" t="s">
        <v>1419</v>
      </c>
      <c r="D212" s="23" t="s">
        <v>1540</v>
      </c>
      <c r="E212" s="23" t="s">
        <v>1540</v>
      </c>
      <c r="F212" s="24" t="s">
        <v>1543</v>
      </c>
      <c r="G212" s="24" t="s">
        <v>1544</v>
      </c>
      <c r="H212" s="25"/>
      <c r="I212" s="23" t="s">
        <v>2498</v>
      </c>
      <c r="J212" s="22" t="s">
        <v>1565</v>
      </c>
      <c r="K212" s="22" t="s">
        <v>2499</v>
      </c>
      <c r="L212" s="25"/>
      <c r="M212" s="24" t="s">
        <v>1546</v>
      </c>
      <c r="N212" s="25"/>
      <c r="O212" s="25"/>
      <c r="P212" s="25"/>
      <c r="Q212" s="25"/>
      <c r="R212" s="24" t="s">
        <v>1547</v>
      </c>
      <c r="S212" s="25"/>
      <c r="T212" s="25"/>
      <c r="U212" s="23" t="s">
        <v>2443</v>
      </c>
      <c r="V212" s="25"/>
      <c r="W212" s="25"/>
      <c r="X212" s="25"/>
      <c r="Y212" s="25"/>
    </row>
    <row r="213" spans="1:25" ht="13.5" customHeight="1">
      <c r="A213" s="12">
        <v>211</v>
      </c>
      <c r="B213" s="22" t="s">
        <v>53</v>
      </c>
      <c r="C213" s="22" t="s">
        <v>1419</v>
      </c>
      <c r="D213" s="23" t="s">
        <v>1568</v>
      </c>
      <c r="E213" s="23" t="s">
        <v>1568</v>
      </c>
      <c r="F213" s="24" t="s">
        <v>1571</v>
      </c>
      <c r="G213" s="24" t="s">
        <v>1572</v>
      </c>
      <c r="H213" s="25"/>
      <c r="I213" s="23" t="s">
        <v>2500</v>
      </c>
      <c r="J213" s="22" t="s">
        <v>1570</v>
      </c>
      <c r="K213" s="22" t="s">
        <v>2501</v>
      </c>
      <c r="L213" s="25"/>
      <c r="M213" s="24" t="s">
        <v>1574</v>
      </c>
      <c r="N213" s="25"/>
      <c r="O213" s="25"/>
      <c r="P213" s="25"/>
      <c r="Q213" s="25"/>
      <c r="R213" s="24" t="s">
        <v>1575</v>
      </c>
      <c r="S213" s="25"/>
      <c r="T213" s="25"/>
      <c r="U213" s="23" t="s">
        <v>2443</v>
      </c>
      <c r="V213" s="25"/>
      <c r="W213" s="25"/>
      <c r="X213" s="25"/>
      <c r="Y213" s="25"/>
    </row>
    <row r="214" spans="1:25" ht="13.5" customHeight="1">
      <c r="A214" s="12">
        <v>212</v>
      </c>
      <c r="B214" s="22" t="s">
        <v>53</v>
      </c>
      <c r="C214" s="22" t="s">
        <v>1419</v>
      </c>
      <c r="D214" s="23" t="s">
        <v>1568</v>
      </c>
      <c r="E214" s="23" t="s">
        <v>1568</v>
      </c>
      <c r="F214" s="24" t="s">
        <v>1571</v>
      </c>
      <c r="G214" s="24" t="s">
        <v>1572</v>
      </c>
      <c r="H214" s="25"/>
      <c r="I214" s="23" t="s">
        <v>2502</v>
      </c>
      <c r="J214" s="22" t="s">
        <v>1578</v>
      </c>
      <c r="K214" s="26" t="s">
        <v>2503</v>
      </c>
      <c r="L214" s="25"/>
      <c r="M214" s="24" t="s">
        <v>1574</v>
      </c>
      <c r="N214" s="25"/>
      <c r="O214" s="25"/>
      <c r="P214" s="25"/>
      <c r="Q214" s="25"/>
      <c r="R214" s="24" t="s">
        <v>1575</v>
      </c>
      <c r="S214" s="25"/>
      <c r="T214" s="25"/>
      <c r="U214" s="23" t="s">
        <v>2443</v>
      </c>
      <c r="V214" s="25"/>
      <c r="W214" s="25"/>
      <c r="X214" s="25"/>
      <c r="Y214" s="25"/>
    </row>
    <row r="215" spans="1:25" ht="13.5" customHeight="1">
      <c r="A215" s="12">
        <v>213</v>
      </c>
      <c r="B215" s="22" t="s">
        <v>53</v>
      </c>
      <c r="C215" s="22" t="s">
        <v>1419</v>
      </c>
      <c r="D215" s="23" t="s">
        <v>1568</v>
      </c>
      <c r="E215" s="23" t="s">
        <v>1568</v>
      </c>
      <c r="F215" s="24" t="s">
        <v>1571</v>
      </c>
      <c r="G215" s="24" t="s">
        <v>1572</v>
      </c>
      <c r="H215" s="25"/>
      <c r="I215" s="23" t="s">
        <v>2504</v>
      </c>
      <c r="J215" s="22" t="s">
        <v>1582</v>
      </c>
      <c r="K215" s="22" t="s">
        <v>2505</v>
      </c>
      <c r="L215" s="25"/>
      <c r="M215" s="24" t="s">
        <v>1574</v>
      </c>
      <c r="N215" s="25"/>
      <c r="O215" s="25"/>
      <c r="P215" s="25"/>
      <c r="Q215" s="25"/>
      <c r="R215" s="24" t="s">
        <v>1575</v>
      </c>
      <c r="S215" s="25"/>
      <c r="T215" s="25"/>
      <c r="U215" s="23" t="s">
        <v>2443</v>
      </c>
      <c r="V215" s="25"/>
      <c r="W215" s="25"/>
      <c r="X215" s="25"/>
      <c r="Y215" s="25"/>
    </row>
    <row r="216" spans="1:25" ht="13.5" customHeight="1">
      <c r="A216" s="12">
        <v>214</v>
      </c>
      <c r="B216" s="22" t="s">
        <v>87</v>
      </c>
      <c r="C216" s="22" t="s">
        <v>1419</v>
      </c>
      <c r="D216" s="23" t="s">
        <v>1568</v>
      </c>
      <c r="E216" s="23" t="s">
        <v>1568</v>
      </c>
      <c r="F216" s="24" t="s">
        <v>1587</v>
      </c>
      <c r="G216" s="24" t="s">
        <v>1588</v>
      </c>
      <c r="H216" s="25"/>
      <c r="I216" s="23"/>
      <c r="J216" s="22" t="s">
        <v>1586</v>
      </c>
      <c r="K216" s="22" t="s">
        <v>2506</v>
      </c>
      <c r="L216" s="25"/>
      <c r="M216" s="22" t="s">
        <v>2507</v>
      </c>
      <c r="N216" s="25"/>
      <c r="O216" s="25"/>
      <c r="P216" s="25"/>
      <c r="Q216" s="25"/>
      <c r="R216" s="24"/>
      <c r="S216" s="25"/>
      <c r="T216" s="25"/>
      <c r="U216" s="23" t="s">
        <v>2443</v>
      </c>
      <c r="V216" s="25"/>
      <c r="W216" s="25"/>
      <c r="X216" s="25"/>
      <c r="Y216" s="25"/>
    </row>
    <row r="217" spans="1:25" ht="13.5" customHeight="1">
      <c r="A217" s="12">
        <v>215</v>
      </c>
      <c r="B217" s="22" t="s">
        <v>53</v>
      </c>
      <c r="C217" s="22" t="s">
        <v>1419</v>
      </c>
      <c r="D217" s="23" t="s">
        <v>1592</v>
      </c>
      <c r="E217" s="23" t="s">
        <v>1592</v>
      </c>
      <c r="F217" s="24" t="s">
        <v>1595</v>
      </c>
      <c r="G217" s="24" t="s">
        <v>1596</v>
      </c>
      <c r="H217" s="25"/>
      <c r="I217" s="23" t="s">
        <v>2508</v>
      </c>
      <c r="J217" s="22" t="s">
        <v>1594</v>
      </c>
      <c r="K217" s="22" t="s">
        <v>2509</v>
      </c>
      <c r="L217" s="25"/>
      <c r="M217" s="24" t="s">
        <v>1598</v>
      </c>
      <c r="N217" s="25"/>
      <c r="O217" s="25"/>
      <c r="P217" s="25"/>
      <c r="Q217" s="25"/>
      <c r="R217" s="24" t="s">
        <v>1599</v>
      </c>
      <c r="S217" s="25"/>
      <c r="T217" s="25"/>
      <c r="U217" s="23" t="s">
        <v>2443</v>
      </c>
      <c r="V217" s="25"/>
      <c r="W217" s="25"/>
      <c r="X217" s="25"/>
      <c r="Y217" s="25"/>
    </row>
    <row r="218" spans="1:25" ht="13.5" customHeight="1">
      <c r="A218" s="12">
        <v>216</v>
      </c>
      <c r="B218" s="22" t="s">
        <v>53</v>
      </c>
      <c r="C218" s="22" t="s">
        <v>1419</v>
      </c>
      <c r="D218" s="23" t="s">
        <v>1592</v>
      </c>
      <c r="E218" s="23" t="s">
        <v>1592</v>
      </c>
      <c r="F218" s="24" t="s">
        <v>1595</v>
      </c>
      <c r="G218" s="24" t="s">
        <v>1596</v>
      </c>
      <c r="H218" s="25"/>
      <c r="I218" s="23" t="s">
        <v>2510</v>
      </c>
      <c r="J218" s="22" t="s">
        <v>1602</v>
      </c>
      <c r="K218" s="22" t="s">
        <v>2511</v>
      </c>
      <c r="L218" s="25"/>
      <c r="M218" s="24" t="s">
        <v>1598</v>
      </c>
      <c r="N218" s="25"/>
      <c r="O218" s="25"/>
      <c r="P218" s="25"/>
      <c r="Q218" s="25"/>
      <c r="R218" s="24" t="s">
        <v>1599</v>
      </c>
      <c r="S218" s="25"/>
      <c r="T218" s="25"/>
      <c r="U218" s="23" t="s">
        <v>2443</v>
      </c>
      <c r="V218" s="25"/>
      <c r="W218" s="25"/>
      <c r="X218" s="25"/>
      <c r="Y218" s="25"/>
    </row>
    <row r="219" spans="1:25" ht="13.5" customHeight="1">
      <c r="A219" s="12">
        <v>217</v>
      </c>
      <c r="B219" s="22" t="s">
        <v>53</v>
      </c>
      <c r="C219" s="22" t="s">
        <v>1419</v>
      </c>
      <c r="D219" s="23" t="s">
        <v>1592</v>
      </c>
      <c r="E219" s="23" t="s">
        <v>1592</v>
      </c>
      <c r="F219" s="24" t="s">
        <v>1595</v>
      </c>
      <c r="G219" s="24" t="s">
        <v>1596</v>
      </c>
      <c r="H219" s="25"/>
      <c r="I219" s="23" t="s">
        <v>2512</v>
      </c>
      <c r="J219" s="22" t="s">
        <v>1606</v>
      </c>
      <c r="K219" s="22" t="s">
        <v>2513</v>
      </c>
      <c r="L219" s="25"/>
      <c r="M219" s="24" t="s">
        <v>1598</v>
      </c>
      <c r="N219" s="25"/>
      <c r="O219" s="25"/>
      <c r="P219" s="25"/>
      <c r="Q219" s="25"/>
      <c r="R219" s="24" t="s">
        <v>1599</v>
      </c>
      <c r="S219" s="25"/>
      <c r="T219" s="25"/>
      <c r="U219" s="23" t="s">
        <v>2443</v>
      </c>
      <c r="V219" s="25"/>
      <c r="W219" s="25"/>
      <c r="X219" s="25"/>
      <c r="Y219" s="25"/>
    </row>
    <row r="220" spans="1:25" ht="13.5" customHeight="1">
      <c r="A220" s="12">
        <v>218</v>
      </c>
      <c r="B220" s="22" t="s">
        <v>53</v>
      </c>
      <c r="C220" s="22" t="s">
        <v>1419</v>
      </c>
      <c r="D220" s="23" t="s">
        <v>1609</v>
      </c>
      <c r="E220" s="23" t="s">
        <v>1609</v>
      </c>
      <c r="F220" s="24" t="s">
        <v>1612</v>
      </c>
      <c r="G220" s="24" t="s">
        <v>1613</v>
      </c>
      <c r="H220" s="25"/>
      <c r="I220" s="23" t="s">
        <v>2514</v>
      </c>
      <c r="J220" s="22" t="s">
        <v>1611</v>
      </c>
      <c r="K220" s="22" t="s">
        <v>2515</v>
      </c>
      <c r="L220" s="25"/>
      <c r="M220" s="24" t="s">
        <v>1615</v>
      </c>
      <c r="N220" s="25"/>
      <c r="O220" s="25"/>
      <c r="P220" s="25"/>
      <c r="Q220" s="25"/>
      <c r="R220" s="24" t="s">
        <v>1616</v>
      </c>
      <c r="S220" s="25"/>
      <c r="T220" s="25"/>
      <c r="U220" s="23" t="s">
        <v>2443</v>
      </c>
      <c r="V220" s="25"/>
      <c r="W220" s="25"/>
      <c r="X220" s="25"/>
      <c r="Y220" s="25"/>
    </row>
    <row r="221" spans="1:25" ht="13.5" customHeight="1">
      <c r="A221" s="12">
        <v>219</v>
      </c>
      <c r="B221" s="22" t="s">
        <v>53</v>
      </c>
      <c r="C221" s="22" t="s">
        <v>1419</v>
      </c>
      <c r="D221" s="23" t="s">
        <v>1609</v>
      </c>
      <c r="E221" s="23" t="s">
        <v>1609</v>
      </c>
      <c r="F221" s="24" t="s">
        <v>1612</v>
      </c>
      <c r="G221" s="24" t="s">
        <v>1613</v>
      </c>
      <c r="H221" s="25"/>
      <c r="I221" s="23" t="s">
        <v>2516</v>
      </c>
      <c r="J221" s="22" t="s">
        <v>1619</v>
      </c>
      <c r="K221" s="22" t="s">
        <v>2517</v>
      </c>
      <c r="L221" s="25"/>
      <c r="M221" s="24" t="s">
        <v>1615</v>
      </c>
      <c r="N221" s="25"/>
      <c r="O221" s="25"/>
      <c r="P221" s="25"/>
      <c r="Q221" s="25"/>
      <c r="R221" s="24" t="s">
        <v>1616</v>
      </c>
      <c r="S221" s="25"/>
      <c r="T221" s="25"/>
      <c r="U221" s="23" t="s">
        <v>2443</v>
      </c>
      <c r="V221" s="25"/>
      <c r="W221" s="25"/>
      <c r="X221" s="25"/>
      <c r="Y221" s="25"/>
    </row>
    <row r="222" spans="1:25" ht="13.5" customHeight="1">
      <c r="A222" s="12">
        <v>220</v>
      </c>
      <c r="B222" s="22" t="s">
        <v>53</v>
      </c>
      <c r="C222" s="22" t="s">
        <v>1419</v>
      </c>
      <c r="D222" s="23" t="s">
        <v>698</v>
      </c>
      <c r="E222" s="23" t="s">
        <v>698</v>
      </c>
      <c r="F222" s="24" t="s">
        <v>1624</v>
      </c>
      <c r="G222" s="24" t="s">
        <v>1625</v>
      </c>
      <c r="H222" s="25"/>
      <c r="I222" s="23" t="s">
        <v>2518</v>
      </c>
      <c r="J222" s="22" t="s">
        <v>1623</v>
      </c>
      <c r="K222" s="22" t="s">
        <v>2519</v>
      </c>
      <c r="L222" s="25"/>
      <c r="M222" s="24" t="s">
        <v>1627</v>
      </c>
      <c r="N222" s="25"/>
      <c r="O222" s="25"/>
      <c r="P222" s="25"/>
      <c r="Q222" s="25"/>
      <c r="R222" s="24" t="s">
        <v>1628</v>
      </c>
      <c r="S222" s="25"/>
      <c r="T222" s="25"/>
      <c r="U222" s="23" t="s">
        <v>2443</v>
      </c>
      <c r="V222" s="25"/>
      <c r="W222" s="25"/>
      <c r="X222" s="25"/>
      <c r="Y222" s="25"/>
    </row>
    <row r="223" spans="1:25" ht="13.5" customHeight="1">
      <c r="A223" s="12">
        <v>221</v>
      </c>
      <c r="B223" s="22" t="s">
        <v>53</v>
      </c>
      <c r="C223" s="22" t="s">
        <v>1419</v>
      </c>
      <c r="D223" s="23" t="s">
        <v>698</v>
      </c>
      <c r="E223" s="23" t="s">
        <v>698</v>
      </c>
      <c r="F223" s="24" t="s">
        <v>1624</v>
      </c>
      <c r="G223" s="24" t="s">
        <v>1632</v>
      </c>
      <c r="H223" s="25"/>
      <c r="I223" s="23" t="s">
        <v>2520</v>
      </c>
      <c r="J223" s="22" t="s">
        <v>1631</v>
      </c>
      <c r="K223" s="22" t="s">
        <v>2521</v>
      </c>
      <c r="L223" s="25"/>
      <c r="M223" s="24" t="s">
        <v>1627</v>
      </c>
      <c r="N223" s="25"/>
      <c r="O223" s="25"/>
      <c r="P223" s="25"/>
      <c r="Q223" s="25"/>
      <c r="R223" s="24" t="s">
        <v>1634</v>
      </c>
      <c r="S223" s="25"/>
      <c r="T223" s="25"/>
      <c r="U223" s="23" t="s">
        <v>2443</v>
      </c>
      <c r="V223" s="25"/>
      <c r="W223" s="25"/>
      <c r="X223" s="25"/>
      <c r="Y223" s="25"/>
    </row>
    <row r="224" spans="1:25" ht="13.5" customHeight="1">
      <c r="A224" s="12">
        <v>222</v>
      </c>
      <c r="B224" s="22" t="s">
        <v>53</v>
      </c>
      <c r="C224" s="22" t="s">
        <v>1419</v>
      </c>
      <c r="D224" s="23" t="s">
        <v>1223</v>
      </c>
      <c r="E224" s="23" t="s">
        <v>1223</v>
      </c>
      <c r="F224" s="24" t="s">
        <v>1226</v>
      </c>
      <c r="G224" s="24" t="s">
        <v>1227</v>
      </c>
      <c r="H224" s="25"/>
      <c r="I224" s="23" t="s">
        <v>2522</v>
      </c>
      <c r="J224" s="22" t="s">
        <v>1637</v>
      </c>
      <c r="K224" s="22" t="s">
        <v>2523</v>
      </c>
      <c r="L224" s="25"/>
      <c r="M224" s="24" t="s">
        <v>1229</v>
      </c>
      <c r="N224" s="25"/>
      <c r="O224" s="25"/>
      <c r="P224" s="25"/>
      <c r="Q224" s="25"/>
      <c r="R224" s="24" t="s">
        <v>1230</v>
      </c>
      <c r="S224" s="25"/>
      <c r="T224" s="25"/>
      <c r="U224" s="23" t="s">
        <v>2443</v>
      </c>
      <c r="V224" s="25"/>
      <c r="W224" s="25"/>
      <c r="X224" s="25"/>
      <c r="Y224" s="25"/>
    </row>
    <row r="225" spans="1:25" ht="13.5" customHeight="1">
      <c r="A225" s="12">
        <v>223</v>
      </c>
      <c r="B225" s="22" t="s">
        <v>53</v>
      </c>
      <c r="C225" s="22" t="s">
        <v>1419</v>
      </c>
      <c r="D225" s="23" t="s">
        <v>1223</v>
      </c>
      <c r="E225" s="23" t="s">
        <v>1223</v>
      </c>
      <c r="F225" s="24" t="s">
        <v>1226</v>
      </c>
      <c r="G225" s="24" t="s">
        <v>1227</v>
      </c>
      <c r="H225" s="25"/>
      <c r="I225" s="23" t="s">
        <v>2524</v>
      </c>
      <c r="J225" s="22" t="s">
        <v>1641</v>
      </c>
      <c r="K225" s="22" t="s">
        <v>2525</v>
      </c>
      <c r="L225" s="25"/>
      <c r="M225" s="24" t="s">
        <v>1229</v>
      </c>
      <c r="N225" s="25"/>
      <c r="O225" s="25"/>
      <c r="P225" s="25"/>
      <c r="Q225" s="25"/>
      <c r="R225" s="24" t="s">
        <v>1230</v>
      </c>
      <c r="S225" s="25"/>
      <c r="T225" s="25"/>
      <c r="U225" s="23" t="s">
        <v>2443</v>
      </c>
      <c r="V225" s="25"/>
      <c r="W225" s="25"/>
      <c r="X225" s="25"/>
      <c r="Y225" s="25"/>
    </row>
    <row r="226" spans="1:25" ht="13.5" customHeight="1">
      <c r="A226" s="12">
        <v>224</v>
      </c>
      <c r="B226" s="22" t="s">
        <v>53</v>
      </c>
      <c r="C226" s="22" t="s">
        <v>1419</v>
      </c>
      <c r="D226" s="23" t="s">
        <v>1223</v>
      </c>
      <c r="E226" s="23" t="s">
        <v>1223</v>
      </c>
      <c r="F226" s="24" t="s">
        <v>1226</v>
      </c>
      <c r="G226" s="24" t="s">
        <v>1227</v>
      </c>
      <c r="H226" s="25"/>
      <c r="I226" s="23" t="s">
        <v>2526</v>
      </c>
      <c r="J226" s="22" t="s">
        <v>1645</v>
      </c>
      <c r="K226" s="22" t="s">
        <v>2527</v>
      </c>
      <c r="L226" s="25"/>
      <c r="M226" s="24" t="s">
        <v>1229</v>
      </c>
      <c r="N226" s="25"/>
      <c r="O226" s="25"/>
      <c r="P226" s="25"/>
      <c r="Q226" s="25"/>
      <c r="R226" s="24" t="s">
        <v>1230</v>
      </c>
      <c r="S226" s="25"/>
      <c r="T226" s="25"/>
      <c r="U226" s="23" t="s">
        <v>2443</v>
      </c>
      <c r="V226" s="25"/>
      <c r="W226" s="25"/>
      <c r="X226" s="25"/>
      <c r="Y226" s="25"/>
    </row>
    <row r="227" spans="1:25" ht="13.5" customHeight="1">
      <c r="A227" s="12">
        <v>225</v>
      </c>
      <c r="B227" s="22" t="s">
        <v>53</v>
      </c>
      <c r="C227" s="22" t="s">
        <v>1419</v>
      </c>
      <c r="D227" s="23" t="s">
        <v>1223</v>
      </c>
      <c r="E227" s="23" t="s">
        <v>1223</v>
      </c>
      <c r="F227" s="24" t="s">
        <v>1226</v>
      </c>
      <c r="G227" s="24" t="s">
        <v>1227</v>
      </c>
      <c r="H227" s="25"/>
      <c r="I227" s="23" t="s">
        <v>2528</v>
      </c>
      <c r="J227" s="22" t="s">
        <v>1649</v>
      </c>
      <c r="K227" s="22" t="s">
        <v>2529</v>
      </c>
      <c r="L227" s="25"/>
      <c r="M227" s="24" t="s">
        <v>1229</v>
      </c>
      <c r="N227" s="25"/>
      <c r="O227" s="25"/>
      <c r="P227" s="25"/>
      <c r="Q227" s="25"/>
      <c r="R227" s="24" t="s">
        <v>1230</v>
      </c>
      <c r="S227" s="25"/>
      <c r="T227" s="25"/>
      <c r="U227" s="23" t="s">
        <v>2443</v>
      </c>
      <c r="V227" s="25"/>
      <c r="W227" s="25"/>
      <c r="X227" s="25"/>
      <c r="Y227" s="25"/>
    </row>
    <row r="228" spans="1:25" ht="13.5" customHeight="1">
      <c r="A228" s="12">
        <v>226</v>
      </c>
      <c r="B228" s="22" t="s">
        <v>53</v>
      </c>
      <c r="C228" s="22" t="s">
        <v>1419</v>
      </c>
      <c r="D228" s="23" t="s">
        <v>1223</v>
      </c>
      <c r="E228" s="23" t="s">
        <v>1223</v>
      </c>
      <c r="F228" s="24" t="s">
        <v>1226</v>
      </c>
      <c r="G228" s="24" t="s">
        <v>1227</v>
      </c>
      <c r="H228" s="25"/>
      <c r="I228" s="23" t="s">
        <v>2530</v>
      </c>
      <c r="J228" s="22" t="s">
        <v>1653</v>
      </c>
      <c r="K228" s="22" t="s">
        <v>2531</v>
      </c>
      <c r="L228" s="25"/>
      <c r="M228" s="24" t="s">
        <v>1229</v>
      </c>
      <c r="N228" s="25"/>
      <c r="O228" s="25"/>
      <c r="P228" s="25"/>
      <c r="Q228" s="25"/>
      <c r="R228" s="24" t="s">
        <v>1230</v>
      </c>
      <c r="S228" s="25"/>
      <c r="T228" s="25"/>
      <c r="U228" s="23" t="s">
        <v>2443</v>
      </c>
      <c r="V228" s="25"/>
      <c r="W228" s="25"/>
      <c r="X228" s="25"/>
      <c r="Y228" s="25"/>
    </row>
    <row r="229" spans="1:25" ht="13.5" customHeight="1">
      <c r="A229" s="12">
        <v>227</v>
      </c>
      <c r="B229" s="22" t="s">
        <v>53</v>
      </c>
      <c r="C229" s="22" t="s">
        <v>1419</v>
      </c>
      <c r="D229" s="23" t="s">
        <v>1223</v>
      </c>
      <c r="E229" s="23" t="s">
        <v>1223</v>
      </c>
      <c r="F229" s="24" t="s">
        <v>1226</v>
      </c>
      <c r="G229" s="24" t="s">
        <v>1227</v>
      </c>
      <c r="H229" s="25"/>
      <c r="I229" s="23" t="s">
        <v>2532</v>
      </c>
      <c r="J229" s="22" t="s">
        <v>1657</v>
      </c>
      <c r="K229" s="22" t="s">
        <v>2533</v>
      </c>
      <c r="L229" s="25"/>
      <c r="M229" s="24" t="s">
        <v>1229</v>
      </c>
      <c r="N229" s="25"/>
      <c r="O229" s="25"/>
      <c r="P229" s="25"/>
      <c r="Q229" s="25"/>
      <c r="R229" s="24" t="s">
        <v>1230</v>
      </c>
      <c r="S229" s="25"/>
      <c r="T229" s="25"/>
      <c r="U229" s="23" t="s">
        <v>2443</v>
      </c>
      <c r="V229" s="25"/>
      <c r="W229" s="25"/>
      <c r="X229" s="25"/>
      <c r="Y229" s="25"/>
    </row>
    <row r="230" spans="1:25" ht="13.5" customHeight="1">
      <c r="A230" s="12">
        <v>228</v>
      </c>
      <c r="B230" s="22" t="s">
        <v>53</v>
      </c>
      <c r="C230" s="22" t="s">
        <v>1419</v>
      </c>
      <c r="D230" s="23" t="s">
        <v>1223</v>
      </c>
      <c r="E230" s="23" t="s">
        <v>1223</v>
      </c>
      <c r="F230" s="24" t="s">
        <v>1226</v>
      </c>
      <c r="G230" s="24" t="s">
        <v>1227</v>
      </c>
      <c r="H230" s="25"/>
      <c r="I230" s="23" t="s">
        <v>2534</v>
      </c>
      <c r="J230" s="22" t="s">
        <v>1661</v>
      </c>
      <c r="K230" s="22" t="s">
        <v>2535</v>
      </c>
      <c r="L230" s="25"/>
      <c r="M230" s="24" t="s">
        <v>1229</v>
      </c>
      <c r="N230" s="25"/>
      <c r="O230" s="25"/>
      <c r="P230" s="25"/>
      <c r="Q230" s="25"/>
      <c r="R230" s="24" t="s">
        <v>1230</v>
      </c>
      <c r="S230" s="25"/>
      <c r="T230" s="25"/>
      <c r="U230" s="23" t="s">
        <v>2443</v>
      </c>
      <c r="V230" s="25"/>
      <c r="W230" s="25"/>
      <c r="X230" s="25"/>
      <c r="Y230" s="25"/>
    </row>
    <row r="231" spans="1:25" ht="13.5" customHeight="1">
      <c r="A231" s="12">
        <v>229</v>
      </c>
      <c r="B231" s="22" t="s">
        <v>53</v>
      </c>
      <c r="C231" s="22" t="s">
        <v>1419</v>
      </c>
      <c r="D231" s="23" t="s">
        <v>1664</v>
      </c>
      <c r="E231" s="23" t="s">
        <v>1664</v>
      </c>
      <c r="F231" s="24" t="s">
        <v>1667</v>
      </c>
      <c r="G231" s="24" t="s">
        <v>1668</v>
      </c>
      <c r="H231" s="25"/>
      <c r="I231" s="23" t="s">
        <v>2536</v>
      </c>
      <c r="J231" s="22" t="s">
        <v>1666</v>
      </c>
      <c r="K231" s="22" t="s">
        <v>2537</v>
      </c>
      <c r="L231" s="25"/>
      <c r="M231" s="24" t="s">
        <v>1670</v>
      </c>
      <c r="N231" s="25"/>
      <c r="O231" s="25"/>
      <c r="P231" s="25"/>
      <c r="Q231" s="25"/>
      <c r="R231" s="24" t="s">
        <v>1671</v>
      </c>
      <c r="S231" s="25"/>
      <c r="T231" s="25"/>
      <c r="U231" s="23" t="s">
        <v>2443</v>
      </c>
      <c r="V231" s="25"/>
      <c r="W231" s="25"/>
      <c r="X231" s="25"/>
      <c r="Y231" s="25"/>
    </row>
    <row r="232" spans="1:25" ht="13.5" customHeight="1">
      <c r="A232" s="12">
        <v>230</v>
      </c>
      <c r="B232" s="22" t="s">
        <v>53</v>
      </c>
      <c r="C232" s="22" t="s">
        <v>1419</v>
      </c>
      <c r="D232" s="23" t="s">
        <v>1664</v>
      </c>
      <c r="E232" s="23" t="s">
        <v>1664</v>
      </c>
      <c r="F232" s="24" t="s">
        <v>1667</v>
      </c>
      <c r="G232" s="24" t="s">
        <v>1668</v>
      </c>
      <c r="H232" s="25"/>
      <c r="I232" s="23" t="s">
        <v>2538</v>
      </c>
      <c r="J232" s="22" t="s">
        <v>2539</v>
      </c>
      <c r="K232" s="22" t="s">
        <v>2540</v>
      </c>
      <c r="L232" s="25"/>
      <c r="M232" s="24" t="s">
        <v>1670</v>
      </c>
      <c r="N232" s="25"/>
      <c r="O232" s="25"/>
      <c r="P232" s="25"/>
      <c r="Q232" s="25"/>
      <c r="R232" s="24" t="s">
        <v>1671</v>
      </c>
      <c r="S232" s="25"/>
      <c r="T232" s="25"/>
      <c r="U232" s="23" t="s">
        <v>2443</v>
      </c>
      <c r="V232" s="25"/>
      <c r="W232" s="25"/>
      <c r="X232" s="25"/>
      <c r="Y232" s="25"/>
    </row>
    <row r="233" spans="1:25" ht="13.5" customHeight="1">
      <c r="A233" s="12">
        <v>231</v>
      </c>
      <c r="B233" s="22" t="s">
        <v>53</v>
      </c>
      <c r="C233" s="22" t="s">
        <v>1419</v>
      </c>
      <c r="D233" s="23" t="s">
        <v>1677</v>
      </c>
      <c r="E233" s="23" t="s">
        <v>1677</v>
      </c>
      <c r="F233" s="24" t="s">
        <v>1680</v>
      </c>
      <c r="G233" s="24" t="s">
        <v>1681</v>
      </c>
      <c r="H233" s="25"/>
      <c r="I233" s="23" t="s">
        <v>2541</v>
      </c>
      <c r="J233" s="22" t="s">
        <v>1679</v>
      </c>
      <c r="K233" s="22" t="s">
        <v>2542</v>
      </c>
      <c r="L233" s="25"/>
      <c r="M233" s="24" t="s">
        <v>1683</v>
      </c>
      <c r="N233" s="25"/>
      <c r="O233" s="25"/>
      <c r="P233" s="25"/>
      <c r="Q233" s="25"/>
      <c r="R233" s="24" t="s">
        <v>1684</v>
      </c>
      <c r="S233" s="25"/>
      <c r="T233" s="25"/>
      <c r="U233" s="23" t="s">
        <v>2443</v>
      </c>
      <c r="V233" s="25"/>
      <c r="W233" s="25"/>
      <c r="X233" s="25"/>
      <c r="Y233" s="25"/>
    </row>
    <row r="234" spans="1:25" ht="13.5" customHeight="1">
      <c r="A234" s="12">
        <v>232</v>
      </c>
      <c r="B234" s="22" t="s">
        <v>53</v>
      </c>
      <c r="C234" s="22" t="s">
        <v>1419</v>
      </c>
      <c r="D234" s="23" t="s">
        <v>1677</v>
      </c>
      <c r="E234" s="23" t="s">
        <v>1677</v>
      </c>
      <c r="F234" s="24" t="s">
        <v>1680</v>
      </c>
      <c r="G234" s="24" t="s">
        <v>1681</v>
      </c>
      <c r="H234" s="25"/>
      <c r="I234" s="23" t="s">
        <v>2543</v>
      </c>
      <c r="J234" s="22" t="s">
        <v>1687</v>
      </c>
      <c r="K234" s="22" t="s">
        <v>2544</v>
      </c>
      <c r="L234" s="25"/>
      <c r="M234" s="24" t="s">
        <v>1683</v>
      </c>
      <c r="N234" s="25"/>
      <c r="O234" s="25"/>
      <c r="P234" s="25"/>
      <c r="Q234" s="25"/>
      <c r="R234" s="24" t="s">
        <v>1684</v>
      </c>
      <c r="S234" s="25"/>
      <c r="T234" s="25"/>
      <c r="U234" s="23" t="s">
        <v>2443</v>
      </c>
      <c r="V234" s="25"/>
      <c r="W234" s="25"/>
      <c r="X234" s="25"/>
      <c r="Y234" s="25"/>
    </row>
    <row r="235" spans="1:25" ht="13.5" customHeight="1">
      <c r="A235" s="12">
        <v>233</v>
      </c>
      <c r="B235" s="22" t="s">
        <v>53</v>
      </c>
      <c r="C235" s="22" t="s">
        <v>1419</v>
      </c>
      <c r="D235" s="23" t="s">
        <v>1677</v>
      </c>
      <c r="E235" s="23" t="s">
        <v>1677</v>
      </c>
      <c r="F235" s="24" t="s">
        <v>1680</v>
      </c>
      <c r="G235" s="24" t="s">
        <v>1681</v>
      </c>
      <c r="H235" s="25"/>
      <c r="I235" s="23" t="s">
        <v>2545</v>
      </c>
      <c r="J235" s="22" t="s">
        <v>1691</v>
      </c>
      <c r="K235" s="22" t="s">
        <v>2546</v>
      </c>
      <c r="L235" s="25"/>
      <c r="M235" s="24" t="s">
        <v>1683</v>
      </c>
      <c r="N235" s="25"/>
      <c r="O235" s="25"/>
      <c r="P235" s="25"/>
      <c r="Q235" s="25"/>
      <c r="R235" s="24" t="s">
        <v>1684</v>
      </c>
      <c r="S235" s="25"/>
      <c r="T235" s="25"/>
      <c r="U235" s="23" t="s">
        <v>2443</v>
      </c>
      <c r="V235" s="25"/>
      <c r="W235" s="25"/>
      <c r="X235" s="25"/>
      <c r="Y235" s="25"/>
    </row>
    <row r="236" spans="1:25" ht="13.5" customHeight="1">
      <c r="A236" s="12">
        <v>234</v>
      </c>
      <c r="B236" s="22" t="s">
        <v>53</v>
      </c>
      <c r="C236" s="22" t="s">
        <v>1419</v>
      </c>
      <c r="D236" s="23" t="s">
        <v>1694</v>
      </c>
      <c r="E236" s="23" t="s">
        <v>1694</v>
      </c>
      <c r="F236" s="24" t="s">
        <v>1697</v>
      </c>
      <c r="G236" s="24" t="s">
        <v>1698</v>
      </c>
      <c r="H236" s="25"/>
      <c r="I236" s="23" t="s">
        <v>2547</v>
      </c>
      <c r="J236" s="22" t="s">
        <v>2548</v>
      </c>
      <c r="K236" s="22" t="s">
        <v>2549</v>
      </c>
      <c r="L236" s="25"/>
      <c r="M236" s="24" t="s">
        <v>1700</v>
      </c>
      <c r="N236" s="25"/>
      <c r="O236" s="25"/>
      <c r="P236" s="25"/>
      <c r="Q236" s="25"/>
      <c r="R236" s="24" t="s">
        <v>1701</v>
      </c>
      <c r="S236" s="25"/>
      <c r="T236" s="25"/>
      <c r="U236" s="23" t="s">
        <v>2443</v>
      </c>
      <c r="V236" s="25"/>
      <c r="W236" s="25"/>
      <c r="X236" s="25"/>
      <c r="Y236" s="25"/>
    </row>
    <row r="237" spans="1:25" ht="13.5" customHeight="1">
      <c r="A237" s="12">
        <v>235</v>
      </c>
      <c r="B237" s="22" t="s">
        <v>53</v>
      </c>
      <c r="C237" s="22" t="s">
        <v>1419</v>
      </c>
      <c r="D237" s="23" t="s">
        <v>1694</v>
      </c>
      <c r="E237" s="23" t="s">
        <v>1694</v>
      </c>
      <c r="F237" s="24" t="s">
        <v>1697</v>
      </c>
      <c r="G237" s="24" t="s">
        <v>1698</v>
      </c>
      <c r="H237" s="25"/>
      <c r="I237" s="23" t="s">
        <v>2550</v>
      </c>
      <c r="J237" s="22" t="s">
        <v>2551</v>
      </c>
      <c r="K237" s="22" t="s">
        <v>2552</v>
      </c>
      <c r="L237" s="25"/>
      <c r="M237" s="24" t="s">
        <v>1700</v>
      </c>
      <c r="N237" s="25"/>
      <c r="O237" s="25"/>
      <c r="P237" s="25"/>
      <c r="Q237" s="25"/>
      <c r="R237" s="24" t="s">
        <v>1701</v>
      </c>
      <c r="S237" s="25"/>
      <c r="T237" s="25"/>
      <c r="U237" s="23" t="s">
        <v>2443</v>
      </c>
      <c r="V237" s="25"/>
      <c r="W237" s="25"/>
      <c r="X237" s="25"/>
      <c r="Y237" s="25"/>
    </row>
    <row r="238" spans="1:25" ht="13.5" customHeight="1">
      <c r="A238" s="12">
        <v>236</v>
      </c>
      <c r="B238" s="22" t="s">
        <v>53</v>
      </c>
      <c r="C238" s="22" t="s">
        <v>1419</v>
      </c>
      <c r="D238" s="23" t="s">
        <v>1694</v>
      </c>
      <c r="E238" s="23" t="s">
        <v>1694</v>
      </c>
      <c r="F238" s="24" t="s">
        <v>1697</v>
      </c>
      <c r="G238" s="24" t="s">
        <v>1698</v>
      </c>
      <c r="H238" s="25"/>
      <c r="I238" s="23" t="s">
        <v>2553</v>
      </c>
      <c r="J238" s="22" t="s">
        <v>2554</v>
      </c>
      <c r="K238" s="22" t="s">
        <v>2555</v>
      </c>
      <c r="L238" s="25"/>
      <c r="M238" s="24" t="s">
        <v>1700</v>
      </c>
      <c r="N238" s="25"/>
      <c r="O238" s="25"/>
      <c r="P238" s="25"/>
      <c r="Q238" s="25"/>
      <c r="R238" s="24" t="s">
        <v>1701</v>
      </c>
      <c r="S238" s="25"/>
      <c r="T238" s="25"/>
      <c r="U238" s="23" t="s">
        <v>2443</v>
      </c>
      <c r="V238" s="25"/>
      <c r="W238" s="25"/>
      <c r="X238" s="25"/>
      <c r="Y238" s="25"/>
    </row>
    <row r="239" spans="1:25" ht="13.5" customHeight="1">
      <c r="A239" s="12">
        <v>237</v>
      </c>
      <c r="B239" s="22" t="s">
        <v>53</v>
      </c>
      <c r="C239" s="22" t="s">
        <v>1419</v>
      </c>
      <c r="D239" s="23" t="s">
        <v>1694</v>
      </c>
      <c r="E239" s="23" t="s">
        <v>1694</v>
      </c>
      <c r="F239" s="24" t="s">
        <v>1697</v>
      </c>
      <c r="G239" s="24" t="s">
        <v>1698</v>
      </c>
      <c r="H239" s="25"/>
      <c r="I239" s="23" t="s">
        <v>2556</v>
      </c>
      <c r="J239" s="22" t="s">
        <v>2557</v>
      </c>
      <c r="K239" s="22" t="s">
        <v>2558</v>
      </c>
      <c r="L239" s="25"/>
      <c r="M239" s="24" t="s">
        <v>1700</v>
      </c>
      <c r="N239" s="25"/>
      <c r="O239" s="25"/>
      <c r="P239" s="25"/>
      <c r="Q239" s="25"/>
      <c r="R239" s="24" t="s">
        <v>1701</v>
      </c>
      <c r="S239" s="25"/>
      <c r="T239" s="25"/>
      <c r="U239" s="23" t="s">
        <v>2443</v>
      </c>
      <c r="V239" s="25"/>
      <c r="W239" s="25"/>
      <c r="X239" s="25"/>
      <c r="Y239" s="25"/>
    </row>
    <row r="240" spans="1:25" ht="13.5" customHeight="1">
      <c r="A240" s="12">
        <v>238</v>
      </c>
      <c r="B240" s="22" t="s">
        <v>53</v>
      </c>
      <c r="C240" s="22" t="s">
        <v>1419</v>
      </c>
      <c r="D240" s="23" t="s">
        <v>1694</v>
      </c>
      <c r="E240" s="23" t="s">
        <v>1694</v>
      </c>
      <c r="F240" s="24" t="s">
        <v>1697</v>
      </c>
      <c r="G240" s="24" t="s">
        <v>1698</v>
      </c>
      <c r="H240" s="25"/>
      <c r="I240" s="22" t="s">
        <v>2559</v>
      </c>
      <c r="J240" s="22" t="s">
        <v>2560</v>
      </c>
      <c r="K240" s="22" t="s">
        <v>2561</v>
      </c>
      <c r="L240" s="25"/>
      <c r="M240" s="24" t="s">
        <v>1700</v>
      </c>
      <c r="N240" s="25"/>
      <c r="O240" s="25"/>
      <c r="P240" s="25"/>
      <c r="Q240" s="25"/>
      <c r="R240" s="24" t="s">
        <v>1701</v>
      </c>
      <c r="S240" s="25"/>
      <c r="T240" s="25"/>
      <c r="U240" s="23" t="s">
        <v>2443</v>
      </c>
      <c r="V240" s="25"/>
      <c r="W240" s="25"/>
      <c r="X240" s="25"/>
      <c r="Y240" s="25"/>
    </row>
    <row r="241" spans="1:25" ht="13.5" customHeight="1">
      <c r="A241" s="12">
        <v>239</v>
      </c>
      <c r="B241" s="22" t="s">
        <v>53</v>
      </c>
      <c r="C241" s="22" t="s">
        <v>1419</v>
      </c>
      <c r="D241" s="23" t="s">
        <v>1694</v>
      </c>
      <c r="E241" s="23" t="s">
        <v>1694</v>
      </c>
      <c r="F241" s="24" t="s">
        <v>1697</v>
      </c>
      <c r="G241" s="24" t="s">
        <v>1698</v>
      </c>
      <c r="H241" s="25"/>
      <c r="I241" s="22" t="s">
        <v>2562</v>
      </c>
      <c r="J241" s="22" t="s">
        <v>2563</v>
      </c>
      <c r="K241" s="22" t="s">
        <v>2564</v>
      </c>
      <c r="L241" s="25"/>
      <c r="M241" s="24" t="s">
        <v>1700</v>
      </c>
      <c r="N241" s="25"/>
      <c r="O241" s="25"/>
      <c r="P241" s="25"/>
      <c r="Q241" s="25"/>
      <c r="R241" s="24" t="s">
        <v>1701</v>
      </c>
      <c r="S241" s="25"/>
      <c r="T241" s="25"/>
      <c r="U241" s="23" t="s">
        <v>2443</v>
      </c>
      <c r="V241" s="25"/>
      <c r="W241" s="25"/>
      <c r="X241" s="25"/>
      <c r="Y241" s="25"/>
    </row>
    <row r="242" spans="1:25" ht="13.5" customHeight="1">
      <c r="A242" s="12">
        <v>240</v>
      </c>
      <c r="B242" s="22" t="s">
        <v>53</v>
      </c>
      <c r="C242" s="22" t="s">
        <v>1419</v>
      </c>
      <c r="D242" s="23" t="s">
        <v>1694</v>
      </c>
      <c r="E242" s="23" t="s">
        <v>1694</v>
      </c>
      <c r="F242" s="24" t="s">
        <v>1697</v>
      </c>
      <c r="G242" s="24" t="s">
        <v>1698</v>
      </c>
      <c r="H242" s="25"/>
      <c r="I242" s="22" t="s">
        <v>2565</v>
      </c>
      <c r="J242" s="22" t="s">
        <v>2566</v>
      </c>
      <c r="K242" s="22" t="s">
        <v>2567</v>
      </c>
      <c r="L242" s="25"/>
      <c r="M242" s="24" t="s">
        <v>1700</v>
      </c>
      <c r="N242" s="25"/>
      <c r="O242" s="25"/>
      <c r="P242" s="25"/>
      <c r="Q242" s="25"/>
      <c r="R242" s="24" t="s">
        <v>1701</v>
      </c>
      <c r="S242" s="25"/>
      <c r="T242" s="25"/>
      <c r="U242" s="23" t="s">
        <v>2443</v>
      </c>
      <c r="V242" s="25"/>
      <c r="W242" s="25"/>
      <c r="X242" s="25"/>
      <c r="Y242" s="25"/>
    </row>
    <row r="243" spans="1:25" ht="13.5" customHeight="1">
      <c r="A243" s="12">
        <v>241</v>
      </c>
      <c r="B243" s="22" t="s">
        <v>53</v>
      </c>
      <c r="C243" s="22" t="s">
        <v>1419</v>
      </c>
      <c r="D243" s="23" t="s">
        <v>598</v>
      </c>
      <c r="E243" s="23" t="s">
        <v>598</v>
      </c>
      <c r="F243" s="24" t="s">
        <v>1729</v>
      </c>
      <c r="G243" s="24" t="s">
        <v>1730</v>
      </c>
      <c r="H243" s="25"/>
      <c r="I243" s="22" t="s">
        <v>2568</v>
      </c>
      <c r="J243" s="22" t="s">
        <v>2569</v>
      </c>
      <c r="K243" s="22" t="s">
        <v>2570</v>
      </c>
      <c r="L243" s="25"/>
      <c r="M243" s="24" t="s">
        <v>1627</v>
      </c>
      <c r="N243" s="25"/>
      <c r="O243" s="25"/>
      <c r="P243" s="25"/>
      <c r="Q243" s="25"/>
      <c r="R243" s="24" t="s">
        <v>1732</v>
      </c>
      <c r="S243" s="25"/>
      <c r="T243" s="25"/>
      <c r="U243" s="23" t="s">
        <v>2443</v>
      </c>
      <c r="V243" s="25"/>
      <c r="W243" s="25"/>
      <c r="X243" s="25"/>
      <c r="Y243" s="25"/>
    </row>
    <row r="244" spans="1:25" ht="13.5" customHeight="1">
      <c r="A244" s="12">
        <v>242</v>
      </c>
      <c r="B244" s="22" t="s">
        <v>53</v>
      </c>
      <c r="C244" s="22" t="s">
        <v>1419</v>
      </c>
      <c r="D244" s="23" t="s">
        <v>598</v>
      </c>
      <c r="E244" s="23" t="s">
        <v>598</v>
      </c>
      <c r="F244" s="24" t="s">
        <v>1729</v>
      </c>
      <c r="G244" s="24" t="s">
        <v>2571</v>
      </c>
      <c r="H244" s="25"/>
      <c r="I244" s="22" t="s">
        <v>2572</v>
      </c>
      <c r="J244" s="22" t="s">
        <v>2573</v>
      </c>
      <c r="K244" s="22" t="s">
        <v>2574</v>
      </c>
      <c r="L244" s="25"/>
      <c r="M244" s="24" t="s">
        <v>1627</v>
      </c>
      <c r="N244" s="25"/>
      <c r="O244" s="25"/>
      <c r="P244" s="25"/>
      <c r="Q244" s="25"/>
      <c r="R244" s="24" t="s">
        <v>2575</v>
      </c>
      <c r="S244" s="25"/>
      <c r="T244" s="25"/>
      <c r="U244" s="23" t="s">
        <v>2443</v>
      </c>
      <c r="V244" s="25"/>
      <c r="W244" s="25"/>
      <c r="X244" s="25"/>
      <c r="Y244" s="25"/>
    </row>
    <row r="245" spans="1:25" ht="13.5" customHeight="1">
      <c r="A245" s="12">
        <v>243</v>
      </c>
      <c r="B245" s="22" t="s">
        <v>53</v>
      </c>
      <c r="C245" s="22" t="s">
        <v>1419</v>
      </c>
      <c r="D245" s="23" t="s">
        <v>598</v>
      </c>
      <c r="E245" s="23" t="s">
        <v>598</v>
      </c>
      <c r="F245" s="24" t="s">
        <v>1729</v>
      </c>
      <c r="G245" s="24" t="s">
        <v>2576</v>
      </c>
      <c r="H245" s="25"/>
      <c r="I245" s="22" t="s">
        <v>2577</v>
      </c>
      <c r="J245" s="22" t="s">
        <v>2578</v>
      </c>
      <c r="K245" s="22" t="s">
        <v>2579</v>
      </c>
      <c r="L245" s="25"/>
      <c r="M245" s="24" t="s">
        <v>1627</v>
      </c>
      <c r="N245" s="25"/>
      <c r="O245" s="25"/>
      <c r="P245" s="25"/>
      <c r="Q245" s="25"/>
      <c r="R245" s="24" t="s">
        <v>2580</v>
      </c>
      <c r="S245" s="25"/>
      <c r="T245" s="25"/>
      <c r="U245" s="23" t="s">
        <v>2443</v>
      </c>
      <c r="V245" s="25"/>
      <c r="W245" s="25"/>
      <c r="X245" s="25"/>
      <c r="Y245" s="25"/>
    </row>
    <row r="246" spans="1:25" ht="13.5" customHeight="1">
      <c r="A246" s="12">
        <v>244</v>
      </c>
      <c r="B246" s="22" t="s">
        <v>53</v>
      </c>
      <c r="C246" s="22" t="s">
        <v>1419</v>
      </c>
      <c r="D246" s="23" t="s">
        <v>1746</v>
      </c>
      <c r="E246" s="23" t="s">
        <v>1746</v>
      </c>
      <c r="F246" s="24" t="s">
        <v>1749</v>
      </c>
      <c r="G246" s="24" t="s">
        <v>1750</v>
      </c>
      <c r="H246" s="25"/>
      <c r="I246" s="22" t="s">
        <v>2581</v>
      </c>
      <c r="J246" s="22" t="s">
        <v>2582</v>
      </c>
      <c r="K246" s="22" t="s">
        <v>2583</v>
      </c>
      <c r="L246" s="25"/>
      <c r="M246" s="24" t="s">
        <v>1752</v>
      </c>
      <c r="N246" s="25"/>
      <c r="O246" s="25"/>
      <c r="P246" s="25"/>
      <c r="Q246" s="25"/>
      <c r="R246" s="24" t="s">
        <v>1753</v>
      </c>
      <c r="S246" s="25"/>
      <c r="T246" s="25"/>
      <c r="U246" s="23" t="s">
        <v>2443</v>
      </c>
      <c r="V246" s="25"/>
      <c r="W246" s="25"/>
      <c r="X246" s="25"/>
      <c r="Y246" s="25"/>
    </row>
    <row r="247" spans="1:25" ht="13.5" customHeight="1">
      <c r="A247" s="12">
        <v>245</v>
      </c>
      <c r="B247" s="22" t="s">
        <v>53</v>
      </c>
      <c r="C247" s="22" t="s">
        <v>1419</v>
      </c>
      <c r="D247" s="23" t="s">
        <v>1746</v>
      </c>
      <c r="E247" s="23" t="s">
        <v>1746</v>
      </c>
      <c r="F247" s="24" t="s">
        <v>1749</v>
      </c>
      <c r="G247" s="24" t="s">
        <v>1750</v>
      </c>
      <c r="H247" s="25"/>
      <c r="I247" s="22" t="s">
        <v>2584</v>
      </c>
      <c r="J247" s="22" t="s">
        <v>1756</v>
      </c>
      <c r="K247" s="22" t="s">
        <v>2585</v>
      </c>
      <c r="L247" s="25"/>
      <c r="M247" s="24" t="s">
        <v>1752</v>
      </c>
      <c r="N247" s="25"/>
      <c r="O247" s="25"/>
      <c r="P247" s="25"/>
      <c r="Q247" s="25"/>
      <c r="R247" s="24" t="s">
        <v>1753</v>
      </c>
      <c r="S247" s="25"/>
      <c r="T247" s="25"/>
      <c r="U247" s="23" t="s">
        <v>2443</v>
      </c>
      <c r="V247" s="25"/>
      <c r="W247" s="25"/>
      <c r="X247" s="25"/>
      <c r="Y247" s="25"/>
    </row>
    <row r="248" spans="1:25" ht="13.5" customHeight="1">
      <c r="A248" s="12">
        <v>246</v>
      </c>
      <c r="B248" s="22" t="s">
        <v>53</v>
      </c>
      <c r="C248" s="22" t="s">
        <v>1419</v>
      </c>
      <c r="D248" s="23" t="s">
        <v>1746</v>
      </c>
      <c r="E248" s="23" t="s">
        <v>1746</v>
      </c>
      <c r="F248" s="24" t="s">
        <v>1749</v>
      </c>
      <c r="G248" s="24" t="s">
        <v>1750</v>
      </c>
      <c r="H248" s="25"/>
      <c r="I248" s="22" t="s">
        <v>2586</v>
      </c>
      <c r="J248" s="22" t="s">
        <v>2587</v>
      </c>
      <c r="K248" s="22" t="s">
        <v>2588</v>
      </c>
      <c r="L248" s="25"/>
      <c r="M248" s="24" t="s">
        <v>1752</v>
      </c>
      <c r="N248" s="25"/>
      <c r="O248" s="25"/>
      <c r="P248" s="25"/>
      <c r="Q248" s="25"/>
      <c r="R248" s="24" t="s">
        <v>1753</v>
      </c>
      <c r="S248" s="25"/>
      <c r="T248" s="25"/>
      <c r="U248" s="23" t="s">
        <v>2443</v>
      </c>
      <c r="V248" s="25"/>
      <c r="W248" s="25"/>
      <c r="X248" s="25"/>
      <c r="Y248" s="25"/>
    </row>
    <row r="249" spans="1:25" ht="13.5" customHeight="1">
      <c r="A249" s="12">
        <v>247</v>
      </c>
      <c r="B249" s="22" t="s">
        <v>53</v>
      </c>
      <c r="C249" s="22" t="s">
        <v>1419</v>
      </c>
      <c r="D249" s="23" t="s">
        <v>1763</v>
      </c>
      <c r="E249" s="23" t="s">
        <v>1763</v>
      </c>
      <c r="F249" s="24" t="s">
        <v>1766</v>
      </c>
      <c r="G249" s="24" t="s">
        <v>1767</v>
      </c>
      <c r="H249" s="25"/>
      <c r="I249" s="22" t="s">
        <v>2589</v>
      </c>
      <c r="J249" s="22" t="s">
        <v>2590</v>
      </c>
      <c r="K249" s="22" t="s">
        <v>2591</v>
      </c>
      <c r="L249" s="25"/>
      <c r="M249" s="24" t="s">
        <v>1769</v>
      </c>
      <c r="N249" s="25"/>
      <c r="O249" s="25"/>
      <c r="P249" s="25"/>
      <c r="Q249" s="25"/>
      <c r="R249" s="24" t="s">
        <v>1770</v>
      </c>
      <c r="S249" s="25"/>
      <c r="T249" s="25"/>
      <c r="U249" s="23" t="s">
        <v>2443</v>
      </c>
      <c r="V249" s="25"/>
      <c r="W249" s="25"/>
      <c r="X249" s="25"/>
      <c r="Y249" s="25"/>
    </row>
    <row r="250" spans="1:25" ht="13.5" customHeight="1">
      <c r="A250" s="12">
        <v>248</v>
      </c>
      <c r="B250" s="22" t="s">
        <v>53</v>
      </c>
      <c r="C250" s="22" t="s">
        <v>1419</v>
      </c>
      <c r="D250" s="23" t="s">
        <v>1763</v>
      </c>
      <c r="E250" s="23" t="s">
        <v>1763</v>
      </c>
      <c r="F250" s="24" t="s">
        <v>1766</v>
      </c>
      <c r="G250" s="24" t="s">
        <v>1767</v>
      </c>
      <c r="H250" s="25"/>
      <c r="I250" s="22" t="s">
        <v>2592</v>
      </c>
      <c r="J250" s="22" t="s">
        <v>1773</v>
      </c>
      <c r="K250" s="22" t="s">
        <v>2593</v>
      </c>
      <c r="L250" s="25"/>
      <c r="M250" s="24" t="s">
        <v>1769</v>
      </c>
      <c r="N250" s="25"/>
      <c r="O250" s="25"/>
      <c r="P250" s="25"/>
      <c r="Q250" s="25"/>
      <c r="R250" s="24" t="s">
        <v>1770</v>
      </c>
      <c r="S250" s="25"/>
      <c r="T250" s="25"/>
      <c r="U250" s="23" t="s">
        <v>2443</v>
      </c>
      <c r="V250" s="25"/>
      <c r="W250" s="25"/>
      <c r="X250" s="25"/>
      <c r="Y250" s="25"/>
    </row>
    <row r="251" spans="1:25" ht="13.5" customHeight="1">
      <c r="A251" s="12">
        <v>249</v>
      </c>
      <c r="B251" s="22" t="s">
        <v>53</v>
      </c>
      <c r="C251" s="22" t="s">
        <v>1419</v>
      </c>
      <c r="D251" s="23" t="s">
        <v>1763</v>
      </c>
      <c r="E251" s="23" t="s">
        <v>1763</v>
      </c>
      <c r="F251" s="24" t="s">
        <v>1766</v>
      </c>
      <c r="G251" s="24" t="s">
        <v>1767</v>
      </c>
      <c r="H251" s="25"/>
      <c r="I251" s="22" t="s">
        <v>2594</v>
      </c>
      <c r="J251" s="22" t="s">
        <v>1777</v>
      </c>
      <c r="K251" s="22" t="s">
        <v>2595</v>
      </c>
      <c r="L251" s="25"/>
      <c r="M251" s="24" t="s">
        <v>1769</v>
      </c>
      <c r="N251" s="25"/>
      <c r="O251" s="25"/>
      <c r="P251" s="25"/>
      <c r="Q251" s="25"/>
      <c r="R251" s="24" t="s">
        <v>1770</v>
      </c>
      <c r="S251" s="25"/>
      <c r="T251" s="25"/>
      <c r="U251" s="23" t="s">
        <v>2443</v>
      </c>
      <c r="V251" s="25"/>
      <c r="W251" s="25"/>
      <c r="X251" s="25"/>
      <c r="Y251" s="25"/>
    </row>
    <row r="252" spans="1:25" ht="13.5" customHeight="1"/>
    <row r="253" spans="1:25" ht="13.5" customHeight="1"/>
    <row r="254" spans="1:25" ht="13.5" customHeight="1"/>
    <row r="255" spans="1:25" ht="13.5" customHeight="1"/>
    <row r="256" spans="1:25"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2">
    <mergeCell ref="R1:R2"/>
    <mergeCell ref="S1:S2"/>
    <mergeCell ref="T1:T2"/>
    <mergeCell ref="U1:U2"/>
    <mergeCell ref="V1:Y1"/>
    <mergeCell ref="F1:F2"/>
    <mergeCell ref="G1:G2"/>
    <mergeCell ref="O1:O2"/>
    <mergeCell ref="P1:P2"/>
    <mergeCell ref="Q1:Q2"/>
    <mergeCell ref="H1:H2"/>
    <mergeCell ref="I1:I2"/>
    <mergeCell ref="J1:J2"/>
    <mergeCell ref="K1:K2"/>
    <mergeCell ref="L1:L2"/>
    <mergeCell ref="M1:M2"/>
    <mergeCell ref="N1:N2"/>
    <mergeCell ref="A1:A2"/>
    <mergeCell ref="B1:B2"/>
    <mergeCell ref="C1:C2"/>
    <mergeCell ref="D1:D2"/>
    <mergeCell ref="E1:E2"/>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defaultColWidth="12.6640625" defaultRowHeight="15" customHeight="1"/>
  <cols>
    <col min="1" max="1" width="8.6640625" customWidth="1"/>
    <col min="2" max="2" width="26.6640625" customWidth="1"/>
    <col min="3" max="3" width="40.75" customWidth="1"/>
    <col min="4" max="4" width="18.4140625" customWidth="1"/>
    <col min="5" max="5" width="60.75" customWidth="1"/>
    <col min="6" max="6" width="84.9140625" customWidth="1"/>
    <col min="7" max="26" width="11.6640625" customWidth="1"/>
  </cols>
  <sheetData>
    <row r="1" spans="1:26" ht="15.75" customHeight="1">
      <c r="A1" s="27"/>
      <c r="B1" s="27"/>
      <c r="C1" s="28"/>
      <c r="D1" s="29" t="s">
        <v>2596</v>
      </c>
      <c r="E1" s="30"/>
      <c r="F1" s="29" t="s">
        <v>2597</v>
      </c>
      <c r="G1" s="31"/>
      <c r="H1" s="31"/>
      <c r="I1" s="31"/>
      <c r="J1" s="31"/>
      <c r="K1" s="31"/>
      <c r="L1" s="31"/>
      <c r="M1" s="31"/>
      <c r="N1" s="31"/>
      <c r="O1" s="31"/>
      <c r="P1" s="31"/>
      <c r="Q1" s="31"/>
      <c r="R1" s="31"/>
      <c r="S1" s="31"/>
      <c r="T1" s="31"/>
      <c r="U1" s="31"/>
      <c r="V1" s="31"/>
      <c r="W1" s="31"/>
      <c r="X1" s="31"/>
      <c r="Y1" s="31"/>
      <c r="Z1" s="31"/>
    </row>
    <row r="2" spans="1:26" ht="15.75" customHeight="1">
      <c r="A2" s="27"/>
      <c r="B2" s="27"/>
      <c r="C2" s="28"/>
      <c r="D2" s="29"/>
      <c r="E2" s="30"/>
      <c r="F2" s="29"/>
      <c r="G2" s="31"/>
      <c r="H2" s="31"/>
      <c r="I2" s="31"/>
      <c r="J2" s="31"/>
      <c r="K2" s="31"/>
      <c r="L2" s="31"/>
      <c r="M2" s="31"/>
      <c r="N2" s="31"/>
      <c r="O2" s="31"/>
      <c r="P2" s="31"/>
      <c r="Q2" s="31"/>
      <c r="R2" s="31"/>
      <c r="S2" s="31"/>
      <c r="T2" s="31"/>
      <c r="U2" s="31"/>
      <c r="V2" s="31"/>
      <c r="W2" s="31"/>
      <c r="X2" s="31"/>
      <c r="Y2" s="31"/>
      <c r="Z2" s="31"/>
    </row>
    <row r="3" spans="1:26" ht="15.75" customHeight="1">
      <c r="A3" s="27"/>
      <c r="B3" s="27"/>
      <c r="C3" s="28"/>
      <c r="D3" s="29"/>
      <c r="E3" s="30"/>
      <c r="F3" s="29" t="s">
        <v>2598</v>
      </c>
      <c r="G3" s="31"/>
      <c r="H3" s="31"/>
      <c r="I3" s="31"/>
      <c r="J3" s="31"/>
      <c r="K3" s="31"/>
      <c r="L3" s="31"/>
      <c r="M3" s="31"/>
      <c r="N3" s="31"/>
      <c r="O3" s="31"/>
      <c r="P3" s="31"/>
      <c r="Q3" s="31"/>
      <c r="R3" s="31"/>
      <c r="S3" s="31"/>
      <c r="T3" s="31"/>
      <c r="U3" s="31"/>
      <c r="V3" s="31"/>
      <c r="W3" s="31"/>
      <c r="X3" s="31"/>
      <c r="Y3" s="31"/>
      <c r="Z3" s="31"/>
    </row>
    <row r="4" spans="1:26" ht="15.75" customHeight="1">
      <c r="A4" s="32"/>
      <c r="B4" s="33"/>
      <c r="C4" s="30"/>
      <c r="D4" s="29"/>
      <c r="E4" s="34" t="s">
        <v>2599</v>
      </c>
      <c r="F4" s="35" t="s">
        <v>2600</v>
      </c>
      <c r="G4" s="31"/>
      <c r="H4" s="31"/>
      <c r="I4" s="31"/>
      <c r="J4" s="31"/>
      <c r="K4" s="31"/>
      <c r="L4" s="31"/>
      <c r="M4" s="31"/>
      <c r="N4" s="31"/>
      <c r="O4" s="31"/>
      <c r="P4" s="31"/>
      <c r="Q4" s="31"/>
      <c r="R4" s="31"/>
      <c r="S4" s="31"/>
      <c r="T4" s="31"/>
      <c r="U4" s="31"/>
      <c r="V4" s="31"/>
      <c r="W4" s="31"/>
      <c r="X4" s="31"/>
      <c r="Y4" s="31"/>
      <c r="Z4" s="31"/>
    </row>
    <row r="5" spans="1:26" ht="15.75" customHeight="1">
      <c r="A5" s="36" t="s">
        <v>1061</v>
      </c>
      <c r="B5" s="37"/>
      <c r="C5" s="38" t="s">
        <v>2601</v>
      </c>
      <c r="D5" s="39" t="s">
        <v>2602</v>
      </c>
      <c r="E5" s="38" t="s">
        <v>2603</v>
      </c>
      <c r="F5" s="38" t="str">
        <f ca="1">IFERROR(__xludf.DUMMYFUNCTION("GOOGLETRANSLATE(E5,""en"",""ja"")"),"ICV開発において準拠すべき最も重要な品質特性。ISO25010では、以下の安全性のサブ特性が大まかに記載されています。安全関連の品質特性と方法論は、ISO26262/21448、8800などを含む安全関連のISO規格に従って従う必要があります。")</f>
        <v>ICV開発において準拠すべき最も重要な品質特性。ISO25010では、以下の安全性のサブ特性が大まかに記載されています。安全関連の品質特性と方法論は、ISO26262/21448、8800などを含む安全関連のISO規格に従って従う必要があります。</v>
      </c>
      <c r="G5" s="31"/>
      <c r="H5" s="31"/>
      <c r="I5" s="31"/>
      <c r="J5" s="31"/>
      <c r="K5" s="31"/>
      <c r="L5" s="31"/>
      <c r="M5" s="31"/>
      <c r="N5" s="31"/>
      <c r="O5" s="31"/>
      <c r="P5" s="31"/>
      <c r="Q5" s="31"/>
      <c r="R5" s="31"/>
      <c r="S5" s="31"/>
      <c r="T5" s="31"/>
      <c r="U5" s="31"/>
      <c r="V5" s="31"/>
      <c r="W5" s="31"/>
      <c r="X5" s="31"/>
      <c r="Y5" s="31"/>
      <c r="Z5" s="31"/>
    </row>
    <row r="6" spans="1:26" ht="15.75" customHeight="1">
      <c r="A6" s="40"/>
      <c r="B6" s="41" t="s">
        <v>1795</v>
      </c>
      <c r="C6" s="38" t="s">
        <v>2604</v>
      </c>
      <c r="D6" s="39"/>
      <c r="E6" s="38" t="s">
        <v>2605</v>
      </c>
      <c r="F6" s="38" t="str">
        <f ca="1">IFERROR(__xludf.DUMMYFUNCTION("GOOGLETRANSLATE(E6,""en"",""ja"")"),"運用上の危険に遭遇した場合、安全なパラメータまたは状態の範囲内で動作を制限する必要がある。
1. 知覚は、物理的に妥当な範囲またはODD（運用設計上の制約）が有効な範囲外の物体/運動学を主張してはならない。
2. プランニングは、車両/力学/法的制限を超える操縦を指示してはならない。
違反（誤作動、実行不可能な軌道など）は、直接的な危害の前兆となる。L3は、快適性を重視したL2よりも、一般的に厳しい制約範囲を必要とする。")</f>
        <v>運用上の危険に遭遇した場合、安全なパラメータまたは状態の範囲内で動作を制限する必要がある。
1. 知覚は、物理的に妥当な範囲またはODD（運用設計上の制約）が有効な範囲外の物体/運動学を主張してはならない。
2. プランニングは、車両/力学/法的制限を超える操縦を指示してはならない。
違反（誤作動、実行不可能な軌道など）は、直接的な危害の前兆となる。L3は、快適性を重視したL2よりも、一般的に厳しい制約範囲を必要とする。</v>
      </c>
      <c r="G6" s="31"/>
      <c r="H6" s="31"/>
      <c r="I6" s="31"/>
      <c r="J6" s="31"/>
      <c r="K6" s="31"/>
      <c r="L6" s="31"/>
      <c r="M6" s="31"/>
      <c r="N6" s="31"/>
      <c r="O6" s="31"/>
      <c r="P6" s="31"/>
      <c r="Q6" s="31"/>
      <c r="R6" s="31"/>
      <c r="S6" s="31"/>
      <c r="T6" s="31"/>
      <c r="U6" s="31"/>
      <c r="V6" s="31"/>
      <c r="W6" s="31"/>
      <c r="X6" s="31"/>
      <c r="Y6" s="31"/>
      <c r="Z6" s="31"/>
    </row>
    <row r="7" spans="1:26" ht="15.75" customHeight="1">
      <c r="A7" s="40"/>
      <c r="B7" s="41" t="s">
        <v>1798</v>
      </c>
      <c r="C7" s="38" t="s">
        <v>2606</v>
      </c>
      <c r="D7" s="39"/>
      <c r="E7" s="38" t="s">
        <v>2607</v>
      </c>
      <c r="F7" s="38" t="str">
        <f ca="1">IFERROR(__xludf.DUMMYFUNCTION("GOOGLETRANSLATE(E7,""en"",""ja"")"),"FUSA/SOTIF/AIの安全基準を参照してください。")</f>
        <v>FUSA/SOTIF/AIの安全基準を参照してください。</v>
      </c>
      <c r="G7" s="31"/>
      <c r="H7" s="31"/>
      <c r="I7" s="31"/>
      <c r="J7" s="31"/>
      <c r="K7" s="31"/>
      <c r="L7" s="31"/>
      <c r="M7" s="31"/>
      <c r="N7" s="31"/>
      <c r="O7" s="31"/>
      <c r="P7" s="31"/>
      <c r="Q7" s="31"/>
      <c r="R7" s="31"/>
      <c r="S7" s="31"/>
      <c r="T7" s="31"/>
      <c r="U7" s="31"/>
      <c r="V7" s="31"/>
      <c r="W7" s="31"/>
      <c r="X7" s="31"/>
      <c r="Y7" s="31"/>
      <c r="Z7" s="31"/>
    </row>
    <row r="8" spans="1:26" ht="15.75" customHeight="1">
      <c r="A8" s="40"/>
      <c r="B8" s="41" t="s">
        <v>1800</v>
      </c>
      <c r="C8" s="38" t="s">
        <v>2608</v>
      </c>
      <c r="D8" s="39"/>
      <c r="E8" s="38" t="s">
        <v>2609</v>
      </c>
      <c r="F8" s="38" t="str">
        <f ca="1">IFERROR(__xludf.DUMMYFUNCTION("GOOGLETRANSLATE(E8,""en"",""ja"")"),"障害発生時または不自然な入力があった場合、製品は安全な動作モードに移行するか、安全な状態に戻る必要があります（25010:2023）。AIコンポーネントは、異常な入力を正常な入力として扱ってはなりません（ゴーストオブジェクト、古いフレームなど）。信頼性の高い安全でないコマンドよりも、制限付き劣化＋引き継ぎ／終了を優先してください。フェイルセーフパスがテストされていない場合、平均精度は関係ありません。")</f>
        <v>障害発生時または不自然な入力があった場合、製品は安全な動作モードに移行するか、安全な状態に戻る必要があります（25010:2023）。AIコンポーネントは、異常な入力を正常な入力として扱ってはなりません（ゴーストオブジェクト、古いフレームなど）。信頼性の高い安全でないコマンドよりも、制限付き劣化＋引き継ぎ／終了を優先してください。フェイルセーフパスがテストされていない場合、平均精度は関係ありません。</v>
      </c>
      <c r="G8" s="31"/>
      <c r="H8" s="31"/>
      <c r="I8" s="31"/>
      <c r="J8" s="31"/>
      <c r="K8" s="31"/>
      <c r="L8" s="31"/>
      <c r="M8" s="31"/>
      <c r="N8" s="31"/>
      <c r="O8" s="31"/>
      <c r="P8" s="31"/>
      <c r="Q8" s="31"/>
      <c r="R8" s="31"/>
      <c r="S8" s="31"/>
      <c r="T8" s="31"/>
      <c r="U8" s="31"/>
      <c r="V8" s="31"/>
      <c r="W8" s="31"/>
      <c r="X8" s="31"/>
      <c r="Y8" s="31"/>
      <c r="Z8" s="31"/>
    </row>
    <row r="9" spans="1:26" ht="15.75" customHeight="1">
      <c r="A9" s="40"/>
      <c r="B9" s="41" t="s">
        <v>1802</v>
      </c>
      <c r="C9" s="38" t="s">
        <v>2610</v>
      </c>
      <c r="D9" s="39"/>
      <c r="E9" s="38" t="s">
        <v>2611</v>
      </c>
      <c r="F9" s="38" t="str">
        <f ca="1">IFERROR(__xludf.DUMMYFUNCTION("GOOGLETRANSLATE(E9,""en"",""ja"")"),"製品は、許容できないリスクを警告し、オペレーターまたは上流のロジックがタイムリーに対応できるようにする必要があります。知覚/計画が契約上、引き継ぎ要求、注意喚起アラート、または診断警告を提供する場合は必須です。別のECUが所有する警告を持つ純粋なバックエンドコンポーネント：安全な統合テストでインターフェースとタイミングを確認します。完全なHMIユーザビリティは、インタラクション機能で実現できます。")</f>
        <v>製品は、許容できないリスクを警告し、オペレーターまたは上流のロジックがタイムリーに対応できるようにする必要があります。知覚/計画が契約上、引き継ぎ要求、注意喚起アラート、または診断警告を提供する場合は必須です。別のECUが所有する警告を持つ純粋なバックエンドコンポーネント：安全な統合テストでインターフェースとタイミングを確認します。完全なHMIユーザビリティは、インタラクション機能で実現できます。</v>
      </c>
      <c r="G9" s="31"/>
      <c r="H9" s="31"/>
      <c r="I9" s="31"/>
      <c r="J9" s="31"/>
      <c r="K9" s="31"/>
      <c r="L9" s="31"/>
      <c r="M9" s="31"/>
      <c r="N9" s="31"/>
      <c r="O9" s="31"/>
      <c r="P9" s="31"/>
      <c r="Q9" s="31"/>
      <c r="R9" s="31"/>
      <c r="S9" s="31"/>
      <c r="T9" s="31"/>
      <c r="U9" s="31"/>
      <c r="V9" s="31"/>
      <c r="W9" s="31"/>
      <c r="X9" s="31"/>
      <c r="Y9" s="31"/>
      <c r="Z9" s="31"/>
    </row>
    <row r="10" spans="1:26" ht="15.75" customHeight="1">
      <c r="A10" s="42"/>
      <c r="B10" s="41" t="s">
        <v>1804</v>
      </c>
      <c r="C10" s="38" t="s">
        <v>2612</v>
      </c>
      <c r="D10" s="39"/>
      <c r="E10" s="38" t="s">
        <v>2613</v>
      </c>
      <c r="F10" s="38" t="str">
        <f ca="1">IFERROR(__xludf.DUMMYFUNCTION("GOOGLETRANSLATE(E10,""en"",""ja"")"),"1. 他のコンポーネントとの統合中および統合後も、安全性は維持されなければなりません。認識／計画の不具合は、多くの場合、フルスタック構成でのみ発生します（フレームの誤り、IDの引き継ぎ、軌道の遅延など）。
2. リリース評価には、モジュール単体のベンチではなく、統合構成を含める必要があります。")</f>
        <v>1. 他のコンポーネントとの統合中および統合後も、安全性は維持されなければなりません。認識／計画の不具合は、多くの場合、フルスタック構成でのみ発生します（フレームの誤り、IDの引き継ぎ、軌道の遅延など）。
2. リリース評価には、モジュール単体のベンチではなく、統合構成を含める必要があります。</v>
      </c>
      <c r="G10" s="31"/>
      <c r="H10" s="31"/>
      <c r="I10" s="31"/>
      <c r="J10" s="31"/>
      <c r="K10" s="31"/>
      <c r="L10" s="31"/>
      <c r="M10" s="31"/>
      <c r="N10" s="31"/>
      <c r="O10" s="31"/>
      <c r="P10" s="31"/>
      <c r="Q10" s="31"/>
      <c r="R10" s="31"/>
      <c r="S10" s="31"/>
      <c r="T10" s="31"/>
      <c r="U10" s="31"/>
      <c r="V10" s="31"/>
      <c r="W10" s="31"/>
      <c r="X10" s="31"/>
      <c r="Y10" s="31"/>
      <c r="Z10" s="31"/>
    </row>
    <row r="11" spans="1:26" ht="15.75" customHeight="1">
      <c r="A11" s="43"/>
      <c r="B11" s="43"/>
      <c r="C11" s="44"/>
      <c r="D11" s="31"/>
      <c r="E11" s="30"/>
      <c r="F11" s="31"/>
      <c r="G11" s="31"/>
      <c r="H11" s="31"/>
      <c r="I11" s="31"/>
      <c r="J11" s="31"/>
      <c r="K11" s="31"/>
      <c r="L11" s="31"/>
      <c r="M11" s="31"/>
      <c r="N11" s="31"/>
      <c r="O11" s="31"/>
      <c r="P11" s="31"/>
      <c r="Q11" s="31"/>
      <c r="R11" s="31"/>
      <c r="S11" s="31"/>
      <c r="T11" s="31"/>
      <c r="U11" s="31"/>
      <c r="V11" s="31"/>
      <c r="W11" s="31"/>
      <c r="X11" s="31"/>
      <c r="Y11" s="31"/>
      <c r="Z11" s="31"/>
    </row>
    <row r="12" spans="1:26" ht="15.75" customHeight="1">
      <c r="A12" s="45"/>
      <c r="C12" s="46"/>
      <c r="D12" s="31"/>
      <c r="E12" s="34" t="s">
        <v>2599</v>
      </c>
      <c r="F12" s="35" t="s">
        <v>2600</v>
      </c>
      <c r="G12" s="31"/>
      <c r="H12" s="31"/>
      <c r="I12" s="31"/>
      <c r="J12" s="31"/>
      <c r="K12" s="31"/>
      <c r="L12" s="31"/>
      <c r="M12" s="31"/>
      <c r="N12" s="31"/>
      <c r="O12" s="31"/>
      <c r="P12" s="31"/>
      <c r="Q12" s="31"/>
      <c r="R12" s="31"/>
      <c r="S12" s="31"/>
      <c r="T12" s="31"/>
      <c r="U12" s="31"/>
      <c r="V12" s="31"/>
      <c r="W12" s="31"/>
      <c r="X12" s="31"/>
      <c r="Y12" s="31"/>
      <c r="Z12" s="31"/>
    </row>
    <row r="13" spans="1:26" ht="15.75" customHeight="1">
      <c r="A13" s="47" t="s">
        <v>55</v>
      </c>
      <c r="B13" s="48"/>
      <c r="C13" s="49" t="s">
        <v>2614</v>
      </c>
      <c r="D13" s="50" t="s">
        <v>2602</v>
      </c>
      <c r="E13" s="38" t="s">
        <v>2615</v>
      </c>
      <c r="F13" s="49" t="str">
        <f ca="1">IFERROR(__xludf.DUMMYFUNCTION("GOOGLETRANSLATE(E13,""en"",""ja"")"),"1. 仕様に基づいたソフトウェア開発において、最も基本的な製品品質面は、仕様に準拠していなければなりません。
2. 安全性／セキュリティ品質特性に関しては、安全性／セキュリティ関連機能は完全かつ正確に実装されなければなりません。")</f>
        <v>1. 仕様に基づいたソフトウェア開発において、最も基本的な製品品質面は、仕様に準拠していなければなりません。
2. 安全性／セキュリティ品質特性に関しては、安全性／セキュリティ関連機能は完全かつ正確に実装されなければなりません。</v>
      </c>
      <c r="G13" s="31"/>
      <c r="H13" s="31"/>
      <c r="I13" s="31"/>
      <c r="J13" s="31"/>
      <c r="K13" s="31"/>
      <c r="L13" s="31"/>
      <c r="M13" s="31"/>
      <c r="N13" s="31"/>
      <c r="O13" s="31"/>
      <c r="P13" s="31"/>
      <c r="Q13" s="31"/>
      <c r="R13" s="31"/>
      <c r="S13" s="31"/>
      <c r="T13" s="31"/>
      <c r="U13" s="31"/>
      <c r="V13" s="31"/>
      <c r="W13" s="31"/>
      <c r="X13" s="31"/>
      <c r="Y13" s="31"/>
      <c r="Z13" s="31"/>
    </row>
    <row r="14" spans="1:26" ht="15.75" customHeight="1">
      <c r="A14" s="51"/>
      <c r="B14" s="52" t="s">
        <v>59</v>
      </c>
      <c r="C14" s="49" t="s">
        <v>2616</v>
      </c>
      <c r="D14" s="50"/>
      <c r="E14" s="38" t="s">
        <v>2617</v>
      </c>
      <c r="F14" s="49" t="str">
        <f ca="1">IFERROR(__xludf.DUMMYFUNCTION("GOOGLETRANSLATE(E14,""en"",""ja"")"),"1. 統合におけるギャップは、「システムがこのリスクの存在を認識していない」という形で現れる。
2. 主要な制約（車線境界、脆弱な道路利用者、一時的な障害物など）を考慮しない計画は、計画漏れという形で静かに発生する。
3. オブジェクトクラスを考慮しない認識は、下流のロジックをトリガーしない。
4. レベル3は、多くのレベル2の快適機能よりも、より広範な「想定される認識／計画」範囲を必要とすることが多い。")</f>
        <v>1. 統合におけるギャップは、「システムがこのリスクの存在を認識していない」という形で現れる。
2. 主要な制約（車線境界、脆弱な道路利用者、一時的な障害物など）を考慮しない計画は、計画漏れという形で静かに発生する。
3. オブジェクトクラスを考慮しない認識は、下流のロジックをトリガーしない。
4. レベル3は、多くのレベル2の快適機能よりも、より広範な「想定される認識／計画」範囲を必要とすることが多い。</v>
      </c>
      <c r="G14" s="31"/>
      <c r="H14" s="31"/>
      <c r="I14" s="31"/>
      <c r="J14" s="31"/>
      <c r="K14" s="31"/>
      <c r="L14" s="31"/>
      <c r="M14" s="31"/>
      <c r="N14" s="31"/>
      <c r="O14" s="31"/>
      <c r="P14" s="31"/>
      <c r="Q14" s="31"/>
      <c r="R14" s="31"/>
      <c r="S14" s="31"/>
      <c r="T14" s="31"/>
      <c r="U14" s="31"/>
      <c r="V14" s="31"/>
      <c r="W14" s="31"/>
      <c r="X14" s="31"/>
      <c r="Y14" s="31"/>
      <c r="Z14" s="31"/>
    </row>
    <row r="15" spans="1:26" ht="15.75" customHeight="1">
      <c r="A15" s="51"/>
      <c r="B15" s="52" t="s">
        <v>111</v>
      </c>
      <c r="C15" s="49" t="s">
        <v>2618</v>
      </c>
      <c r="D15" s="50"/>
      <c r="E15" s="38" t="s">
        <v>2619</v>
      </c>
      <c r="F15" s="49" t="str">
        <f ca="1">IFERROR(__xludf.DUMMYFUNCTION("GOOGLETRANSLATE(E15,""en"",""ja"")"),"1. コアとなる配信は、正しい意味論と時空間関係に基づいています。
2. FN/FP、誤ったトラック関連付け、誤った速度、実行不可能な経路、ルールやダイナミクスに違反する計画は機能上の欠陥であり、FPSを上げても修正できません。
3. 誤った出力は、L2/L3レベルで誤ったブレーキ/操舵意図となります。")</f>
        <v>1. コアとなる配信は、正しい意味論と時空間関係に基づいています。
2. FN/FP、誤ったトラック関連付け、誤った速度、実行不可能な経路、ルールやダイナミクスに違反する計画は機能上の欠陥であり、FPSを上げても修正できません。
3. 誤った出力は、L2/L3レベルで誤ったブレーキ/操舵意図となります。</v>
      </c>
      <c r="G15" s="31"/>
      <c r="H15" s="31"/>
      <c r="I15" s="31"/>
      <c r="J15" s="31"/>
      <c r="K15" s="31"/>
      <c r="L15" s="31"/>
      <c r="M15" s="31"/>
      <c r="N15" s="31"/>
      <c r="O15" s="31"/>
      <c r="P15" s="31"/>
      <c r="Q15" s="31"/>
      <c r="R15" s="31"/>
      <c r="S15" s="31"/>
      <c r="T15" s="31"/>
      <c r="U15" s="31"/>
      <c r="V15" s="31"/>
      <c r="W15" s="31"/>
      <c r="X15" s="31"/>
      <c r="Y15" s="31"/>
      <c r="Z15" s="31"/>
    </row>
    <row r="16" spans="1:26" ht="15.75" customHeight="1">
      <c r="A16" s="53"/>
      <c r="B16" s="52" t="s">
        <v>161</v>
      </c>
      <c r="C16" s="49" t="s">
        <v>2620</v>
      </c>
      <c r="D16" s="50"/>
      <c r="E16" s="38" t="s">
        <v>2621</v>
      </c>
      <c r="F16" s="49" t="str">
        <f ca="1">IFERROR(__xludf.DUMMYFUNCTION("GOOGLETRANSLATE(E16,""en"",""ja"")"),"1. 数値的には「正しい」ものの、インターフェースやセマンティクスが間違っていると、誤用（例：信頼の欠如→過信）につながる。
2. 機能の意図に対して計画が積極的すぎる、あるいは保守的すぎると、アクティベーションやL2/L3ホールドが損なわれる。
3. 適切なユーザーが出力を正しく使用することを保証する。")</f>
        <v>1. 数値的には「正しい」ものの、インターフェースやセマンティクスが間違っていると、誤用（例：信頼の欠如→過信）につながる。
2. 機能の意図に対して計画が積極的すぎる、あるいは保守的すぎると、アクティベーションやL2/L3ホールドが損なわれる。
3. 適切なユーザーが出力を正しく使用することを保証する。</v>
      </c>
      <c r="G16" s="31"/>
      <c r="H16" s="31"/>
      <c r="I16" s="31"/>
      <c r="J16" s="31"/>
      <c r="K16" s="31"/>
      <c r="L16" s="31"/>
      <c r="M16" s="31"/>
      <c r="N16" s="31"/>
      <c r="O16" s="31"/>
      <c r="P16" s="31"/>
      <c r="Q16" s="31"/>
      <c r="R16" s="31"/>
      <c r="S16" s="31"/>
      <c r="T16" s="31"/>
      <c r="U16" s="31"/>
      <c r="V16" s="31"/>
      <c r="W16" s="31"/>
      <c r="X16" s="31"/>
      <c r="Y16" s="31"/>
      <c r="Z16" s="31"/>
    </row>
    <row r="17" spans="1:26" ht="15.75" customHeight="1">
      <c r="A17" s="43"/>
      <c r="B17" s="43"/>
      <c r="C17" s="54"/>
      <c r="D17" s="55"/>
      <c r="E17" s="30"/>
      <c r="F17" s="55"/>
      <c r="G17" s="31"/>
      <c r="H17" s="31"/>
      <c r="I17" s="31"/>
      <c r="J17" s="31"/>
      <c r="K17" s="31"/>
      <c r="L17" s="31"/>
      <c r="M17" s="31"/>
      <c r="N17" s="31"/>
      <c r="O17" s="31"/>
      <c r="P17" s="31"/>
      <c r="Q17" s="31"/>
      <c r="R17" s="31"/>
      <c r="S17" s="31"/>
      <c r="T17" s="31"/>
      <c r="U17" s="31"/>
      <c r="V17" s="31"/>
      <c r="W17" s="31"/>
      <c r="X17" s="31"/>
      <c r="Y17" s="31"/>
      <c r="Z17" s="31"/>
    </row>
    <row r="18" spans="1:26" ht="15.75" customHeight="1">
      <c r="A18" s="43"/>
      <c r="B18" s="43"/>
      <c r="C18" s="54"/>
      <c r="D18" s="55"/>
      <c r="E18" s="30"/>
      <c r="F18" s="55"/>
      <c r="G18" s="31"/>
      <c r="H18" s="31"/>
      <c r="I18" s="31"/>
      <c r="J18" s="31"/>
      <c r="K18" s="31"/>
      <c r="L18" s="31"/>
      <c r="M18" s="31"/>
      <c r="N18" s="31"/>
      <c r="O18" s="31"/>
      <c r="P18" s="31"/>
      <c r="Q18" s="31"/>
      <c r="R18" s="31"/>
      <c r="S18" s="31"/>
      <c r="T18" s="31"/>
      <c r="U18" s="31"/>
      <c r="V18" s="31"/>
      <c r="W18" s="31"/>
      <c r="X18" s="31"/>
      <c r="Y18" s="31"/>
      <c r="Z18" s="31"/>
    </row>
    <row r="19" spans="1:26" ht="15.75" customHeight="1">
      <c r="A19" s="43"/>
      <c r="B19" s="43"/>
      <c r="C19" s="54"/>
      <c r="D19" s="55"/>
      <c r="E19" s="34" t="s">
        <v>2599</v>
      </c>
      <c r="F19" s="35" t="s">
        <v>2600</v>
      </c>
      <c r="G19" s="31"/>
      <c r="H19" s="31"/>
      <c r="I19" s="31"/>
      <c r="J19" s="31"/>
      <c r="K19" s="31"/>
      <c r="L19" s="31"/>
      <c r="M19" s="31"/>
      <c r="N19" s="31"/>
      <c r="O19" s="31"/>
      <c r="P19" s="31"/>
      <c r="Q19" s="31"/>
      <c r="R19" s="31"/>
      <c r="S19" s="31"/>
      <c r="T19" s="31"/>
      <c r="U19" s="31"/>
      <c r="V19" s="31"/>
      <c r="W19" s="31"/>
      <c r="X19" s="31"/>
      <c r="Y19" s="31"/>
      <c r="Z19" s="31"/>
    </row>
    <row r="20" spans="1:26" ht="15.75" customHeight="1">
      <c r="A20" s="47" t="s">
        <v>182</v>
      </c>
      <c r="B20" s="48"/>
      <c r="C20" s="38" t="s">
        <v>2622</v>
      </c>
      <c r="D20" s="39" t="s">
        <v>2602</v>
      </c>
      <c r="E20" s="38" t="s">
        <v>2623</v>
      </c>
      <c r="F20" s="38" t="str">
        <f ca="1">IFERROR(__xludf.DUMMYFUNCTION("GOOGLETRANSLATE(E20,""en"",""ja"")"),"1. 仕様に基づいたソフトウェア開発において製品リスクを回避するためには、物理​​的なハードウェアや現実世界からの制約を慎重に分析する必要がある。
2. 安全性に関しては、SOTIFでは性能効率が主要な課題として取り上げられている。")</f>
        <v>1. 仕様に基づいたソフトウェア開発において製品リスクを回避するためには、物理​​的なハードウェアや現実世界からの制約を慎重に分析する必要がある。
2. 安全性に関しては、SOTIFでは性能効率が主要な課題として取り上げられている。</v>
      </c>
      <c r="G20" s="31"/>
      <c r="H20" s="31"/>
      <c r="I20" s="31"/>
      <c r="J20" s="31"/>
      <c r="K20" s="31"/>
      <c r="L20" s="31"/>
      <c r="M20" s="31"/>
      <c r="N20" s="31"/>
      <c r="O20" s="31"/>
      <c r="P20" s="31"/>
      <c r="Q20" s="31"/>
      <c r="R20" s="31"/>
      <c r="S20" s="31"/>
      <c r="T20" s="31"/>
      <c r="U20" s="31"/>
      <c r="V20" s="31"/>
      <c r="W20" s="31"/>
      <c r="X20" s="31"/>
      <c r="Y20" s="31"/>
      <c r="Z20" s="31"/>
    </row>
    <row r="21" spans="1:26" ht="15.75" customHeight="1">
      <c r="A21" s="51"/>
      <c r="B21" s="52" t="s">
        <v>1809</v>
      </c>
      <c r="C21" s="38" t="s">
        <v>2624</v>
      </c>
      <c r="D21" s="39"/>
      <c r="E21" s="38" t="s">
        <v>2625</v>
      </c>
      <c r="F21" s="38" t="str">
        <f ca="1">IFERROR(__xludf.DUMMYFUNCTION("GOOGLETRANSLATE(E21,""en"",""ja"")"),"1. 知覚時点（t-Δt）での計画：Δtが大きいほど、誤った姿勢での判断につながる。
2. カットイン／マージ時の安全マージンにおいて、テール遅延が支配的である。
3. 実験室での平均値だけでなく、ターゲットECU負荷における最悪／高パーセンタイル遅延を証明する。")</f>
        <v>1. 知覚時点（t-Δt）での計画：Δtが大きいほど、誤った姿勢での判断につながる。
2. カットイン／マージ時の安全マージンにおいて、テール遅延が支配的である。
3. 実験室での平均値だけでなく、ターゲットECU負荷における最悪／高パーセンタイル遅延を証明する。</v>
      </c>
      <c r="G21" s="31"/>
      <c r="H21" s="31"/>
      <c r="I21" s="31"/>
      <c r="J21" s="31"/>
      <c r="K21" s="31"/>
      <c r="L21" s="31"/>
      <c r="M21" s="31"/>
      <c r="N21" s="31"/>
      <c r="O21" s="31"/>
      <c r="P21" s="31"/>
      <c r="Q21" s="31"/>
      <c r="R21" s="31"/>
      <c r="S21" s="31"/>
      <c r="T21" s="31"/>
      <c r="U21" s="31"/>
      <c r="V21" s="31"/>
      <c r="W21" s="31"/>
      <c r="X21" s="31"/>
      <c r="Y21" s="31"/>
      <c r="Z21" s="31"/>
    </row>
    <row r="22" spans="1:26" ht="15.75" customHeight="1">
      <c r="A22" s="51"/>
      <c r="B22" s="52" t="s">
        <v>1811</v>
      </c>
      <c r="C22" s="38" t="s">
        <v>2626</v>
      </c>
      <c r="D22" s="39"/>
      <c r="E22" s="38" t="s">
        <v>2627</v>
      </c>
      <c r="F22" s="38" t="str">
        <f ca="1">IFERROR(__xludf.DUMMYFUNCTION("GOOGLETRANSLATE(E22,""en"",""ja"")"),"1. リソース枯渇 → スケジューリングの劣化、フレーム落ち、プリエンプション → 断続的な認識ギャップまたはプランニングのジャンプ。
2. 固定生産ECU：3. リソース制限なしでベンチテスト合格／車両テスト不合格。")</f>
        <v>1. リソース枯渇 → スケジューリングの劣化、フレーム落ち、プリエンプション → 断続的な認識ギャップまたはプランニングのジャンプ。
2. 固定生産ECU：3. リソース制限なしでベンチテスト合格／車両テスト不合格。</v>
      </c>
      <c r="G22" s="31"/>
      <c r="H22" s="31"/>
      <c r="I22" s="31"/>
      <c r="J22" s="31"/>
      <c r="K22" s="31"/>
      <c r="L22" s="31"/>
      <c r="M22" s="31"/>
      <c r="N22" s="31"/>
      <c r="O22" s="31"/>
      <c r="P22" s="31"/>
      <c r="Q22" s="31"/>
      <c r="R22" s="31"/>
      <c r="S22" s="31"/>
      <c r="T22" s="31"/>
      <c r="U22" s="31"/>
      <c r="V22" s="31"/>
      <c r="W22" s="31"/>
      <c r="X22" s="31"/>
      <c r="Y22" s="31"/>
      <c r="Z22" s="31"/>
    </row>
    <row r="23" spans="1:26" ht="15.75" customHeight="1">
      <c r="A23" s="53"/>
      <c r="B23" s="52" t="s">
        <v>323</v>
      </c>
      <c r="C23" s="38" t="s">
        <v>2628</v>
      </c>
      <c r="D23" s="39"/>
      <c r="E23" s="38" t="s">
        <v>2629</v>
      </c>
      <c r="F23" s="38" t="str">
        <f ca="1">IFERROR(__xludf.DUMMYFUNCTION("GOOGLETRANSLATE(E23,""en"",""ja"")"),"1. 混雑、工事、複数VRU（仮想道路利用者）における上限値を定義します。
2. 未検証のドロップポリシー（遠距離/小規模/低信頼度）は、最も近い脅威を破棄する可能性があります。")</f>
        <v>1. 混雑、工事、複数VRU（仮想道路利用者）における上限値を定義します。
2. 未検証のドロップポリシー（遠距離/小規模/低信頼度）は、最も近い脅威を破棄する可能性があります。</v>
      </c>
      <c r="G23" s="31"/>
      <c r="H23" s="31"/>
      <c r="I23" s="31"/>
      <c r="J23" s="31"/>
      <c r="K23" s="31"/>
      <c r="L23" s="31"/>
      <c r="M23" s="31"/>
      <c r="N23" s="31"/>
      <c r="O23" s="31"/>
      <c r="P23" s="31"/>
      <c r="Q23" s="31"/>
      <c r="R23" s="31"/>
      <c r="S23" s="31"/>
      <c r="T23" s="31"/>
      <c r="U23" s="31"/>
      <c r="V23" s="31"/>
      <c r="W23" s="31"/>
      <c r="X23" s="31"/>
      <c r="Y23" s="31"/>
      <c r="Z23" s="31"/>
    </row>
    <row r="24" spans="1:26" ht="15.75" customHeight="1">
      <c r="A24" s="43"/>
      <c r="B24" s="43"/>
      <c r="C24" s="54"/>
      <c r="D24" s="55"/>
      <c r="E24" s="30"/>
      <c r="F24" s="55"/>
      <c r="G24" s="31"/>
      <c r="H24" s="31"/>
      <c r="I24" s="31"/>
      <c r="J24" s="31"/>
      <c r="K24" s="31"/>
      <c r="L24" s="31"/>
      <c r="M24" s="31"/>
      <c r="N24" s="31"/>
      <c r="O24" s="31"/>
      <c r="P24" s="31"/>
      <c r="Q24" s="31"/>
      <c r="R24" s="31"/>
      <c r="S24" s="31"/>
      <c r="T24" s="31"/>
      <c r="U24" s="31"/>
      <c r="V24" s="31"/>
      <c r="W24" s="31"/>
      <c r="X24" s="31"/>
      <c r="Y24" s="31"/>
      <c r="Z24" s="31"/>
    </row>
    <row r="25" spans="1:26" ht="15.75" customHeight="1">
      <c r="A25" s="43"/>
      <c r="B25" s="43"/>
      <c r="C25" s="54"/>
      <c r="D25" s="55"/>
      <c r="E25" s="30"/>
      <c r="F25" s="55"/>
      <c r="G25" s="31"/>
      <c r="H25" s="31"/>
      <c r="I25" s="31"/>
      <c r="J25" s="31"/>
      <c r="K25" s="31"/>
      <c r="L25" s="31"/>
      <c r="M25" s="31"/>
      <c r="N25" s="31"/>
      <c r="O25" s="31"/>
      <c r="P25" s="31"/>
      <c r="Q25" s="31"/>
      <c r="R25" s="31"/>
      <c r="S25" s="31"/>
      <c r="T25" s="31"/>
      <c r="U25" s="31"/>
      <c r="V25" s="31"/>
      <c r="W25" s="31"/>
      <c r="X25" s="31"/>
      <c r="Y25" s="31"/>
      <c r="Z25" s="31"/>
    </row>
    <row r="26" spans="1:26" ht="15.75" customHeight="1">
      <c r="A26" s="43"/>
      <c r="B26" s="43"/>
      <c r="C26" s="54"/>
      <c r="D26" s="55"/>
      <c r="E26" s="34" t="s">
        <v>2599</v>
      </c>
      <c r="F26" s="35" t="s">
        <v>2600</v>
      </c>
      <c r="G26" s="31"/>
      <c r="H26" s="31"/>
      <c r="I26" s="31"/>
      <c r="J26" s="31"/>
      <c r="K26" s="31"/>
      <c r="L26" s="31"/>
      <c r="M26" s="31"/>
      <c r="N26" s="31"/>
      <c r="O26" s="31"/>
      <c r="P26" s="31"/>
      <c r="Q26" s="31"/>
      <c r="R26" s="31"/>
      <c r="S26" s="31"/>
      <c r="T26" s="31"/>
      <c r="U26" s="31"/>
      <c r="V26" s="31"/>
      <c r="W26" s="31"/>
      <c r="X26" s="31"/>
      <c r="Y26" s="31"/>
      <c r="Z26" s="31"/>
    </row>
    <row r="27" spans="1:26" ht="15.75" customHeight="1">
      <c r="A27" s="47" t="s">
        <v>543</v>
      </c>
      <c r="B27" s="48"/>
      <c r="C27" s="49" t="s">
        <v>2630</v>
      </c>
      <c r="D27" s="50" t="s">
        <v>2602</v>
      </c>
      <c r="E27" s="38" t="s">
        <v>2631</v>
      </c>
      <c r="F27" s="49" t="str">
        <f ca="1">IFERROR(__xludf.DUMMYFUNCTION("GOOGLETRANSLATE(E27,""en"",""ja"")"),"対象となるSWCは安全関連部品であるため、異常入力、タイムアウト、故障検出などに対する劣化した安全な出力を保証するために、故障検出と処理が必須となります。")</f>
        <v>対象となるSWCは安全関連部品であるため、異常入力、タイムアウト、故障検出などに対する劣化した安全な出力を保証するために、故障検出と処理が必須となります。</v>
      </c>
      <c r="G27" s="31"/>
      <c r="H27" s="31"/>
      <c r="I27" s="31"/>
      <c r="J27" s="31"/>
      <c r="K27" s="31"/>
      <c r="L27" s="31"/>
      <c r="M27" s="31"/>
      <c r="N27" s="31"/>
      <c r="O27" s="31"/>
      <c r="P27" s="31"/>
      <c r="Q27" s="31"/>
      <c r="R27" s="31"/>
      <c r="S27" s="31"/>
      <c r="T27" s="31"/>
      <c r="U27" s="31"/>
      <c r="V27" s="31"/>
      <c r="W27" s="31"/>
      <c r="X27" s="31"/>
      <c r="Y27" s="31"/>
      <c r="Z27" s="31"/>
    </row>
    <row r="28" spans="1:26" ht="15.75" customHeight="1">
      <c r="A28" s="51"/>
      <c r="B28" s="52" t="s">
        <v>544</v>
      </c>
      <c r="C28" s="49" t="s">
        <v>2632</v>
      </c>
      <c r="D28" s="50"/>
      <c r="E28" s="38" t="s">
        <v>2633</v>
      </c>
      <c r="F28" s="49" t="str">
        <f ca="1">IFERROR(__xludf.DUMMYFUNCTION("GOOGLETRANSLATE(E28,""en"",""ja"")"),"1. AIの認識・計画においては、想定されるODD（異常検出）および標準的な入力条件下において、機能障害（誤検出、誤った関連付け、実行不可能または危険な計画）の発生率が低いことを意味します。これは、狭いベンチマークで高いスコアを獲得することだけを意味するものではありません。デモセットにおける1つの優れたKPIだけでは、障害がないことを証明することはできません。
2. L3（レベル3）は通常、ロングテールおよび多様な標準条件下における証拠を必要とし、リリース後の欠陥収束も求められます。これは、動作が「正常"&amp;"」ではなくなった場合に適用されるフォールトトレランスとは異なります。")</f>
        <v>1. AIの認識・計画においては、想定されるODD（異常検出）および標準的な入力条件下において、機能障害（誤検出、誤った関連付け、実行不可能または危険な計画）の発生率が低いことを意味します。これは、狭いベンチマークで高いスコアを獲得することだけを意味するものではありません。デモセットにおける1つの優れたKPIだけでは、障害がないことを証明することはできません。
2. L3（レベル3）は通常、ロングテールおよび多様な標準条件下における証拠を必要とし、リリース後の欠陥収束も求められます。これは、動作が「正常」ではなくなった場合に適用されるフォールトトレランスとは異なります。</v>
      </c>
      <c r="G28" s="31"/>
      <c r="H28" s="31"/>
      <c r="I28" s="31"/>
      <c r="J28" s="31"/>
      <c r="K28" s="31"/>
      <c r="L28" s="31"/>
      <c r="M28" s="31"/>
      <c r="N28" s="31"/>
      <c r="O28" s="31"/>
      <c r="P28" s="31"/>
      <c r="Q28" s="31"/>
      <c r="R28" s="31"/>
      <c r="S28" s="31"/>
      <c r="T28" s="31"/>
      <c r="U28" s="31"/>
      <c r="V28" s="31"/>
      <c r="W28" s="31"/>
      <c r="X28" s="31"/>
      <c r="Y28" s="31"/>
      <c r="Z28" s="31"/>
    </row>
    <row r="29" spans="1:26" ht="15.75" customHeight="1">
      <c r="A29" s="51"/>
      <c r="B29" s="52" t="s">
        <v>598</v>
      </c>
      <c r="C29" s="49" t="s">
        <v>2634</v>
      </c>
      <c r="D29" s="50"/>
      <c r="E29" s="38" t="s">
        <v>2635</v>
      </c>
      <c r="F29" s="49" t="str">
        <f ca="1">IFERROR(__xludf.DUMMYFUNCTION("GOOGLETRANSLATE(E29,""en"",""ja"")"),"1. L2/L3は、知覚/計画機能が利用できない場合に終了することが多い。
2. 安全な利用不能状態（「出力なし＝OK」ではなく、明確な障害）が必要である。")</f>
        <v>1. L2/L3は、知覚/計画機能が利用できない場合に終了することが多い。
2. 安全な利用不能状態（「出力なし＝OK」ではなく、明確な障害）が必要である。</v>
      </c>
      <c r="G29" s="31"/>
      <c r="H29" s="31"/>
      <c r="I29" s="31"/>
      <c r="J29" s="31"/>
      <c r="K29" s="31"/>
      <c r="L29" s="31"/>
      <c r="M29" s="31"/>
      <c r="N29" s="31"/>
      <c r="O29" s="31"/>
      <c r="P29" s="31"/>
      <c r="Q29" s="31"/>
      <c r="R29" s="31"/>
      <c r="S29" s="31"/>
      <c r="T29" s="31"/>
      <c r="U29" s="31"/>
      <c r="V29" s="31"/>
      <c r="W29" s="31"/>
      <c r="X29" s="31"/>
      <c r="Y29" s="31"/>
      <c r="Z29" s="31"/>
    </row>
    <row r="30" spans="1:26" ht="15.75" customHeight="1">
      <c r="A30" s="51"/>
      <c r="B30" s="52" t="s">
        <v>1816</v>
      </c>
      <c r="C30" s="49" t="s">
        <v>2636</v>
      </c>
      <c r="D30" s="50"/>
      <c r="E30" s="38" t="s">
        <v>2637</v>
      </c>
      <c r="F30" s="49" t="str">
        <f ca="1">IFERROR(__xludf.DUMMYFUNCTION("GOOGLETRANSLATE(E30,""en"",""ja"")"),"1. 異常を正常とみなしてはならない（幻影物体、ゴーストゼロスピードなど）。
2. 危険な出力を制限する。
3. 保守的なホールド、レーンキープ、引き継ぎ要求を行う。")</f>
        <v>1. 異常を正常とみなしてはならない（幻影物体、ゴーストゼロスピードなど）。
2. 危険な出力を制限する。
3. 保守的なホールド、レーンキープ、引き継ぎ要求を行う。</v>
      </c>
      <c r="G30" s="31"/>
      <c r="H30" s="31"/>
      <c r="I30" s="31"/>
      <c r="J30" s="31"/>
      <c r="K30" s="31"/>
      <c r="L30" s="31"/>
      <c r="M30" s="31"/>
      <c r="N30" s="31"/>
      <c r="O30" s="31"/>
      <c r="P30" s="31"/>
      <c r="Q30" s="31"/>
      <c r="R30" s="31"/>
      <c r="S30" s="31"/>
      <c r="T30" s="31"/>
      <c r="U30" s="31"/>
      <c r="V30" s="31"/>
      <c r="W30" s="31"/>
      <c r="X30" s="31"/>
      <c r="Y30" s="31"/>
      <c r="Z30" s="31"/>
    </row>
    <row r="31" spans="1:26" ht="15.75" customHeight="1">
      <c r="A31" s="53"/>
      <c r="B31" s="52" t="s">
        <v>669</v>
      </c>
      <c r="C31" s="49" t="s">
        <v>2638</v>
      </c>
      <c r="D31" s="50"/>
      <c r="E31" s="38" t="s">
        <v>2639</v>
      </c>
      <c r="F31" s="49" t="str">
        <f ca="1">IFERROR(__xludf.DUMMYFUNCTION("GOOGLETRANSLATE(E31,""en"",""ja"")"),"1. 速すぎると出力ジッターが発生する。
2. 遅すぎると長時間のサービス停止が発生する。
3. 安定性と可用性のトレードオフを検証する。")</f>
        <v>1. 速すぎると出力ジッターが発生する。
2. 遅すぎると長時間のサービス停止が発生する。
3. 安定性と可用性のトレードオフを検証する。</v>
      </c>
      <c r="G31" s="31"/>
      <c r="H31" s="31"/>
      <c r="I31" s="31"/>
      <c r="J31" s="31"/>
      <c r="K31" s="31"/>
      <c r="L31" s="31"/>
      <c r="M31" s="31"/>
      <c r="N31" s="31"/>
      <c r="O31" s="31"/>
      <c r="P31" s="31"/>
      <c r="Q31" s="31"/>
      <c r="R31" s="31"/>
      <c r="S31" s="31"/>
      <c r="T31" s="31"/>
      <c r="U31" s="31"/>
      <c r="V31" s="31"/>
      <c r="W31" s="31"/>
      <c r="X31" s="31"/>
      <c r="Y31" s="31"/>
      <c r="Z31" s="31"/>
    </row>
    <row r="32" spans="1:26" ht="15.75" customHeight="1">
      <c r="A32" s="43"/>
      <c r="B32" s="43"/>
      <c r="C32" s="54"/>
      <c r="D32" s="55"/>
      <c r="E32" s="30"/>
      <c r="F32" s="55"/>
      <c r="G32" s="31"/>
      <c r="H32" s="31"/>
      <c r="I32" s="31"/>
      <c r="J32" s="31"/>
      <c r="K32" s="31"/>
      <c r="L32" s="31"/>
      <c r="M32" s="31"/>
      <c r="N32" s="31"/>
      <c r="O32" s="31"/>
      <c r="P32" s="31"/>
      <c r="Q32" s="31"/>
      <c r="R32" s="31"/>
      <c r="S32" s="31"/>
      <c r="T32" s="31"/>
      <c r="U32" s="31"/>
      <c r="V32" s="31"/>
      <c r="W32" s="31"/>
      <c r="X32" s="31"/>
      <c r="Y32" s="31"/>
      <c r="Z32" s="31"/>
    </row>
    <row r="33" spans="1:26" ht="15.75" customHeight="1">
      <c r="A33" s="43"/>
      <c r="B33" s="43"/>
      <c r="C33" s="54"/>
      <c r="D33" s="55"/>
      <c r="E33" s="30"/>
      <c r="F33" s="55"/>
      <c r="G33" s="31"/>
      <c r="H33" s="31"/>
      <c r="I33" s="31"/>
      <c r="J33" s="31"/>
      <c r="K33" s="31"/>
      <c r="L33" s="31"/>
      <c r="M33" s="31"/>
      <c r="N33" s="31"/>
      <c r="O33" s="31"/>
      <c r="P33" s="31"/>
      <c r="Q33" s="31"/>
      <c r="R33" s="31"/>
      <c r="S33" s="31"/>
      <c r="T33" s="31"/>
      <c r="U33" s="31"/>
      <c r="V33" s="31"/>
      <c r="W33" s="31"/>
      <c r="X33" s="31"/>
      <c r="Y33" s="31"/>
      <c r="Z33" s="31"/>
    </row>
    <row r="34" spans="1:26" ht="15.75" customHeight="1">
      <c r="A34" s="43"/>
      <c r="B34" s="43"/>
      <c r="C34" s="54"/>
      <c r="D34" s="55"/>
      <c r="E34" s="34" t="s">
        <v>2599</v>
      </c>
      <c r="F34" s="35" t="s">
        <v>2600</v>
      </c>
      <c r="G34" s="31"/>
      <c r="H34" s="31"/>
      <c r="I34" s="31"/>
      <c r="J34" s="31"/>
      <c r="K34" s="31"/>
      <c r="L34" s="31"/>
      <c r="M34" s="31"/>
      <c r="N34" s="31"/>
      <c r="O34" s="31"/>
      <c r="P34" s="31"/>
      <c r="Q34" s="31"/>
      <c r="R34" s="31"/>
      <c r="S34" s="31"/>
      <c r="T34" s="31"/>
      <c r="U34" s="31"/>
      <c r="V34" s="31"/>
      <c r="W34" s="31"/>
      <c r="X34" s="31"/>
      <c r="Y34" s="31"/>
      <c r="Z34" s="31"/>
    </row>
    <row r="35" spans="1:26" ht="15.75" customHeight="1">
      <c r="A35" s="56" t="s">
        <v>697</v>
      </c>
      <c r="B35" s="57"/>
      <c r="C35" s="58" t="s">
        <v>2640</v>
      </c>
      <c r="D35" s="59" t="s">
        <v>2641</v>
      </c>
      <c r="E35" s="60" t="s">
        <v>2642</v>
      </c>
      <c r="F35" s="58" t="str">
        <f ca="1">IFERROR(__xludf.DUMMYFUNCTION("GOOGLETRANSLATE(E35,""en"",""ja"")"),"1. セキュリティ制御はシステムTire1によって設計され、ASWおよびデータのセキュリティは、製品範囲外のハードウェアおよびBSW手段によって保護されます。
2. ただし、SWCの特定された重要資産に対するセキュリティ制御の可用性と有効性を検証する必要があります。
3. さらに、サードパーティ製コードに対する脆弱性スキャンが必要です。")</f>
        <v>1. セキュリティ制御はシステムTire1によって設計され、ASWおよびデータのセキュリティは、製品範囲外のハードウェアおよびBSW手段によって保護されます。
2. ただし、SWCの特定された重要資産に対するセキュリティ制御の可用性と有効性を検証する必要があります。
3. さらに、サードパーティ製コードに対する脆弱性スキャンが必要です。</v>
      </c>
      <c r="G35" s="31"/>
      <c r="H35" s="31"/>
      <c r="I35" s="31"/>
      <c r="J35" s="31"/>
      <c r="K35" s="31"/>
      <c r="L35" s="31"/>
      <c r="M35" s="31"/>
      <c r="N35" s="31"/>
      <c r="O35" s="31"/>
      <c r="P35" s="31"/>
      <c r="Q35" s="31"/>
      <c r="R35" s="31"/>
      <c r="S35" s="31"/>
      <c r="T35" s="31"/>
      <c r="U35" s="31"/>
      <c r="V35" s="31"/>
      <c r="W35" s="31"/>
      <c r="X35" s="31"/>
      <c r="Y35" s="31"/>
      <c r="Z35" s="31"/>
    </row>
    <row r="36" spans="1:26" ht="15.75" customHeight="1">
      <c r="A36" s="61"/>
      <c r="B36" s="62" t="s">
        <v>698</v>
      </c>
      <c r="C36" s="63" t="s">
        <v>2643</v>
      </c>
      <c r="D36" s="64"/>
      <c r="E36" s="65"/>
      <c r="F36" s="64"/>
      <c r="G36" s="31"/>
      <c r="H36" s="31"/>
      <c r="I36" s="31"/>
      <c r="J36" s="31"/>
      <c r="K36" s="31"/>
      <c r="L36" s="31"/>
      <c r="M36" s="31"/>
      <c r="N36" s="31"/>
      <c r="O36" s="31"/>
      <c r="P36" s="31"/>
      <c r="Q36" s="31"/>
      <c r="R36" s="31"/>
      <c r="S36" s="31"/>
      <c r="T36" s="31"/>
      <c r="U36" s="31"/>
      <c r="V36" s="31"/>
      <c r="W36" s="31"/>
      <c r="X36" s="31"/>
      <c r="Y36" s="31"/>
      <c r="Z36" s="31"/>
    </row>
    <row r="37" spans="1:26" ht="13.5" customHeight="1">
      <c r="A37" s="61"/>
      <c r="B37" s="52" t="s">
        <v>742</v>
      </c>
      <c r="C37" s="49" t="s">
        <v>2644</v>
      </c>
      <c r="D37" s="50" t="s">
        <v>2602</v>
      </c>
      <c r="E37" s="38" t="s">
        <v>2645</v>
      </c>
      <c r="F37" s="49" t="str">
        <f ca="1">IFERROR(__xludf.DUMMYFUNCTION("GOOGLETRANSLATE(E37,""en"",""ja"")"),"1. 改ざんされた入力、モデル/設定、およびストレージは、車両全体の動作に影響を与えます。")</f>
        <v>1. 改ざんされた入力、モデル/設定、およびストレージは、車両全体の動作に影響を与えます。</v>
      </c>
      <c r="G37" s="31"/>
      <c r="H37" s="31"/>
      <c r="I37" s="31"/>
      <c r="J37" s="31"/>
      <c r="K37" s="31"/>
      <c r="L37" s="31"/>
      <c r="M37" s="31"/>
      <c r="N37" s="31"/>
      <c r="O37" s="31"/>
      <c r="P37" s="31"/>
      <c r="Q37" s="31"/>
      <c r="R37" s="31"/>
      <c r="S37" s="31"/>
      <c r="T37" s="31"/>
      <c r="U37" s="31"/>
      <c r="V37" s="31"/>
      <c r="W37" s="31"/>
      <c r="X37" s="31"/>
      <c r="Y37" s="31"/>
      <c r="Z37" s="31"/>
    </row>
    <row r="38" spans="1:26" ht="13.5" customHeight="1">
      <c r="A38" s="61"/>
      <c r="B38" s="62" t="s">
        <v>775</v>
      </c>
      <c r="C38" s="63" t="s">
        <v>2646</v>
      </c>
      <c r="D38" s="64"/>
      <c r="E38" s="65"/>
      <c r="F38" s="64"/>
      <c r="G38" s="31"/>
      <c r="H38" s="31"/>
      <c r="I38" s="31"/>
      <c r="J38" s="31"/>
      <c r="K38" s="31"/>
      <c r="L38" s="31"/>
      <c r="M38" s="31"/>
      <c r="N38" s="31"/>
      <c r="O38" s="31"/>
      <c r="P38" s="31"/>
      <c r="Q38" s="31"/>
      <c r="R38" s="31"/>
      <c r="S38" s="31"/>
      <c r="T38" s="31"/>
      <c r="U38" s="31"/>
      <c r="V38" s="31"/>
      <c r="W38" s="31"/>
      <c r="X38" s="31"/>
      <c r="Y38" s="31"/>
      <c r="Z38" s="31"/>
    </row>
    <row r="39" spans="1:26" ht="13.5" customHeight="1">
      <c r="A39" s="61"/>
      <c r="B39" s="62" t="s">
        <v>2647</v>
      </c>
      <c r="C39" s="63" t="s">
        <v>2648</v>
      </c>
      <c r="D39" s="64"/>
      <c r="E39" s="65"/>
      <c r="F39" s="64"/>
      <c r="G39" s="31"/>
      <c r="H39" s="31"/>
      <c r="I39" s="31"/>
      <c r="J39" s="31"/>
      <c r="K39" s="31"/>
      <c r="L39" s="31"/>
      <c r="M39" s="31"/>
      <c r="N39" s="31"/>
      <c r="O39" s="31"/>
      <c r="P39" s="31"/>
      <c r="Q39" s="31"/>
      <c r="R39" s="31"/>
      <c r="S39" s="31"/>
      <c r="T39" s="31"/>
      <c r="U39" s="31"/>
      <c r="V39" s="31"/>
      <c r="W39" s="31"/>
      <c r="X39" s="31"/>
      <c r="Y39" s="31"/>
      <c r="Z39" s="31"/>
    </row>
    <row r="40" spans="1:26" ht="13.5" customHeight="1">
      <c r="A40" s="61"/>
      <c r="B40" s="62" t="s">
        <v>2649</v>
      </c>
      <c r="C40" s="63" t="s">
        <v>2650</v>
      </c>
      <c r="D40" s="64"/>
      <c r="E40" s="65"/>
      <c r="F40" s="64"/>
      <c r="G40" s="31"/>
      <c r="H40" s="31"/>
      <c r="I40" s="31"/>
      <c r="J40" s="31"/>
      <c r="K40" s="31"/>
      <c r="L40" s="31"/>
      <c r="M40" s="31"/>
      <c r="N40" s="31"/>
      <c r="O40" s="31"/>
      <c r="P40" s="31"/>
      <c r="Q40" s="31"/>
      <c r="R40" s="31"/>
      <c r="S40" s="31"/>
      <c r="T40" s="31"/>
      <c r="U40" s="31"/>
      <c r="V40" s="31"/>
      <c r="W40" s="31"/>
      <c r="X40" s="31"/>
      <c r="Y40" s="31"/>
      <c r="Z40" s="31"/>
    </row>
    <row r="41" spans="1:26" ht="13.5" customHeight="1">
      <c r="A41" s="66"/>
      <c r="B41" s="62" t="s">
        <v>828</v>
      </c>
      <c r="C41" s="63" t="s">
        <v>2651</v>
      </c>
      <c r="D41" s="64"/>
      <c r="E41" s="65"/>
      <c r="F41" s="64"/>
      <c r="G41" s="31"/>
      <c r="H41" s="31"/>
      <c r="I41" s="31"/>
      <c r="J41" s="31"/>
      <c r="K41" s="31"/>
      <c r="L41" s="31"/>
      <c r="M41" s="31"/>
      <c r="N41" s="31"/>
      <c r="O41" s="31"/>
      <c r="P41" s="31"/>
      <c r="Q41" s="31"/>
      <c r="R41" s="31"/>
      <c r="S41" s="31"/>
      <c r="T41" s="31"/>
      <c r="U41" s="31"/>
      <c r="V41" s="31"/>
      <c r="W41" s="31"/>
      <c r="X41" s="31"/>
      <c r="Y41" s="31"/>
      <c r="Z41" s="31"/>
    </row>
    <row r="42" spans="1:26" ht="13.5" customHeight="1">
      <c r="A42" s="43"/>
      <c r="B42" s="43"/>
      <c r="C42" s="54"/>
      <c r="D42" s="55"/>
      <c r="E42" s="30"/>
      <c r="F42" s="55"/>
      <c r="G42" s="31"/>
      <c r="H42" s="31"/>
      <c r="I42" s="31"/>
      <c r="J42" s="31"/>
      <c r="K42" s="31"/>
      <c r="L42" s="31"/>
      <c r="M42" s="31"/>
      <c r="N42" s="31"/>
      <c r="O42" s="31"/>
      <c r="P42" s="31"/>
      <c r="Q42" s="31"/>
      <c r="R42" s="31"/>
      <c r="S42" s="31"/>
      <c r="T42" s="31"/>
      <c r="U42" s="31"/>
      <c r="V42" s="31"/>
      <c r="W42" s="31"/>
      <c r="X42" s="31"/>
      <c r="Y42" s="31"/>
      <c r="Z42" s="31"/>
    </row>
    <row r="43" spans="1:26" ht="13.5" customHeight="1">
      <c r="A43" s="43"/>
      <c r="B43" s="43"/>
      <c r="C43" s="54"/>
      <c r="D43" s="55"/>
      <c r="E43" s="30"/>
      <c r="F43" s="55"/>
      <c r="G43" s="31"/>
      <c r="H43" s="31"/>
      <c r="I43" s="31"/>
      <c r="J43" s="31"/>
      <c r="K43" s="31"/>
      <c r="L43" s="31"/>
      <c r="M43" s="31"/>
      <c r="N43" s="31"/>
      <c r="O43" s="31"/>
      <c r="P43" s="31"/>
      <c r="Q43" s="31"/>
      <c r="R43" s="31"/>
      <c r="S43" s="31"/>
      <c r="T43" s="31"/>
      <c r="U43" s="31"/>
      <c r="V43" s="31"/>
      <c r="W43" s="31"/>
      <c r="X43" s="31"/>
      <c r="Y43" s="31"/>
      <c r="Z43" s="31"/>
    </row>
    <row r="44" spans="1:26" ht="13.5" customHeight="1">
      <c r="A44" s="43"/>
      <c r="B44" s="43"/>
      <c r="C44" s="54"/>
      <c r="D44" s="55"/>
      <c r="E44" s="34" t="s">
        <v>2599</v>
      </c>
      <c r="F44" s="35" t="s">
        <v>2600</v>
      </c>
      <c r="G44" s="31"/>
      <c r="H44" s="31"/>
      <c r="I44" s="31"/>
      <c r="J44" s="31"/>
      <c r="K44" s="31"/>
      <c r="L44" s="31"/>
      <c r="M44" s="31"/>
      <c r="N44" s="31"/>
      <c r="O44" s="31"/>
      <c r="P44" s="31"/>
      <c r="Q44" s="31"/>
      <c r="R44" s="31"/>
      <c r="S44" s="31"/>
      <c r="T44" s="31"/>
      <c r="U44" s="31"/>
      <c r="V44" s="31"/>
      <c r="W44" s="31"/>
      <c r="X44" s="31"/>
      <c r="Y44" s="31"/>
      <c r="Z44" s="31"/>
    </row>
    <row r="45" spans="1:26" ht="13.5" customHeight="1">
      <c r="A45" s="56" t="s">
        <v>859</v>
      </c>
      <c r="B45" s="57"/>
      <c r="C45" s="58" t="s">
        <v>2652</v>
      </c>
      <c r="D45" s="59" t="s">
        <v>2641</v>
      </c>
      <c r="E45" s="60" t="s">
        <v>2653</v>
      </c>
      <c r="F45" s="58" t="str">
        <f ca="1">IFERROR(__xludf.DUMMYFUNCTION("GOOGLETRANSLATE(E45,""en"",""ja"")"),"AIモデルは、データセット、シナリオ、アルゴリズムの更新などにおいて、効率的に再現および再検証されるべきである。")</f>
        <v>AIモデルは、データセット、シナリオ、アルゴリズムの更新などにおいて、効率的に再現および再検証されるべきである。</v>
      </c>
      <c r="G45" s="31"/>
      <c r="H45" s="31"/>
      <c r="I45" s="31"/>
      <c r="J45" s="31"/>
      <c r="K45" s="31"/>
      <c r="L45" s="31"/>
      <c r="M45" s="31"/>
      <c r="N45" s="31"/>
      <c r="O45" s="31"/>
      <c r="P45" s="31"/>
      <c r="Q45" s="31"/>
      <c r="R45" s="31"/>
      <c r="S45" s="31"/>
      <c r="T45" s="31"/>
      <c r="U45" s="31"/>
      <c r="V45" s="31"/>
      <c r="W45" s="31"/>
      <c r="X45" s="31"/>
      <c r="Y45" s="31"/>
      <c r="Z45" s="31"/>
    </row>
    <row r="46" spans="1:26" ht="13.5" customHeight="1">
      <c r="A46" s="61"/>
      <c r="B46" s="62" t="s">
        <v>860</v>
      </c>
      <c r="C46" s="63" t="s">
        <v>2654</v>
      </c>
      <c r="D46" s="64"/>
      <c r="E46" s="65"/>
      <c r="F46" s="64"/>
      <c r="G46" s="31"/>
      <c r="H46" s="31"/>
      <c r="I46" s="31"/>
      <c r="J46" s="31"/>
      <c r="K46" s="31"/>
      <c r="L46" s="31"/>
      <c r="M46" s="31"/>
      <c r="N46" s="31"/>
      <c r="O46" s="31"/>
      <c r="P46" s="31"/>
      <c r="Q46" s="31"/>
      <c r="R46" s="31"/>
      <c r="S46" s="31"/>
      <c r="T46" s="31"/>
      <c r="U46" s="31"/>
      <c r="V46" s="31"/>
      <c r="W46" s="31"/>
      <c r="X46" s="31"/>
      <c r="Y46" s="31"/>
      <c r="Z46" s="31"/>
    </row>
    <row r="47" spans="1:26" ht="13.5" customHeight="1">
      <c r="A47" s="61"/>
      <c r="B47" s="62" t="s">
        <v>879</v>
      </c>
      <c r="C47" s="63" t="s">
        <v>2655</v>
      </c>
      <c r="D47" s="64"/>
      <c r="E47" s="65"/>
      <c r="F47" s="64"/>
      <c r="G47" s="31"/>
      <c r="H47" s="31"/>
      <c r="I47" s="31"/>
      <c r="J47" s="31"/>
      <c r="K47" s="31"/>
      <c r="L47" s="31"/>
      <c r="M47" s="31"/>
      <c r="N47" s="31"/>
      <c r="O47" s="31"/>
      <c r="P47" s="31"/>
      <c r="Q47" s="31"/>
      <c r="R47" s="31"/>
      <c r="S47" s="31"/>
      <c r="T47" s="31"/>
      <c r="U47" s="31"/>
      <c r="V47" s="31"/>
      <c r="W47" s="31"/>
      <c r="X47" s="31"/>
      <c r="Y47" s="31"/>
      <c r="Z47" s="31"/>
    </row>
    <row r="48" spans="1:26" ht="13.5" customHeight="1">
      <c r="A48" s="61"/>
      <c r="B48" s="62" t="s">
        <v>2656</v>
      </c>
      <c r="C48" s="63" t="s">
        <v>2657</v>
      </c>
      <c r="D48" s="64"/>
      <c r="E48" s="65"/>
      <c r="F48" s="64"/>
      <c r="G48" s="31"/>
      <c r="H48" s="31"/>
      <c r="I48" s="31"/>
      <c r="J48" s="31"/>
      <c r="K48" s="31"/>
      <c r="L48" s="31"/>
      <c r="M48" s="31"/>
      <c r="N48" s="31"/>
      <c r="O48" s="31"/>
      <c r="P48" s="31"/>
      <c r="Q48" s="31"/>
      <c r="R48" s="31"/>
      <c r="S48" s="31"/>
      <c r="T48" s="31"/>
      <c r="U48" s="31"/>
      <c r="V48" s="31"/>
      <c r="W48" s="31"/>
      <c r="X48" s="31"/>
      <c r="Y48" s="31"/>
      <c r="Z48" s="31"/>
    </row>
    <row r="49" spans="1:26" ht="13.5" customHeight="1">
      <c r="A49" s="61"/>
      <c r="B49" s="62" t="s">
        <v>922</v>
      </c>
      <c r="C49" s="63" t="s">
        <v>2658</v>
      </c>
      <c r="D49" s="64"/>
      <c r="E49" s="65"/>
      <c r="F49" s="64"/>
      <c r="G49" s="31"/>
      <c r="H49" s="31"/>
      <c r="I49" s="31"/>
      <c r="J49" s="31"/>
      <c r="K49" s="31"/>
      <c r="L49" s="31"/>
      <c r="M49" s="31"/>
      <c r="N49" s="31"/>
      <c r="O49" s="31"/>
      <c r="P49" s="31"/>
      <c r="Q49" s="31"/>
      <c r="R49" s="31"/>
      <c r="S49" s="31"/>
      <c r="T49" s="31"/>
      <c r="U49" s="31"/>
      <c r="V49" s="31"/>
      <c r="W49" s="31"/>
      <c r="X49" s="31"/>
      <c r="Y49" s="31"/>
      <c r="Z49" s="31"/>
    </row>
    <row r="50" spans="1:26" ht="13.5" customHeight="1">
      <c r="A50" s="66"/>
      <c r="B50" s="52" t="s">
        <v>935</v>
      </c>
      <c r="C50" s="49" t="s">
        <v>2659</v>
      </c>
      <c r="D50" s="50" t="s">
        <v>2602</v>
      </c>
      <c r="E50" s="38" t="s">
        <v>2660</v>
      </c>
      <c r="F50" s="49" t="str">
        <f ca="1">IFERROR(__xludf.DUMMYFUNCTION("GOOGLETRANSLATE(E50,""en"",""ja"")"),"再現可能な自動テストがなければ、リリースごとに回帰テストの証明はできない。")</f>
        <v>再現可能な自動テストがなければ、リリースごとに回帰テストの証明はできない。</v>
      </c>
      <c r="G50" s="31"/>
      <c r="H50" s="31"/>
      <c r="I50" s="31"/>
      <c r="J50" s="31"/>
      <c r="K50" s="31"/>
      <c r="L50" s="31"/>
      <c r="M50" s="31"/>
      <c r="N50" s="31"/>
      <c r="O50" s="31"/>
      <c r="P50" s="31"/>
      <c r="Q50" s="31"/>
      <c r="R50" s="31"/>
      <c r="S50" s="31"/>
      <c r="T50" s="31"/>
      <c r="U50" s="31"/>
      <c r="V50" s="31"/>
      <c r="W50" s="31"/>
      <c r="X50" s="31"/>
      <c r="Y50" s="31"/>
      <c r="Z50" s="31"/>
    </row>
    <row r="51" spans="1:26" ht="13.5" customHeight="1">
      <c r="A51" s="43"/>
      <c r="B51" s="43"/>
      <c r="C51" s="54"/>
      <c r="D51" s="55"/>
      <c r="E51" s="30"/>
      <c r="F51" s="55"/>
      <c r="G51" s="31"/>
      <c r="H51" s="31"/>
      <c r="I51" s="31"/>
      <c r="J51" s="31"/>
      <c r="K51" s="31"/>
      <c r="L51" s="31"/>
      <c r="M51" s="31"/>
      <c r="N51" s="31"/>
      <c r="O51" s="31"/>
      <c r="P51" s="31"/>
      <c r="Q51" s="31"/>
      <c r="R51" s="31"/>
      <c r="S51" s="31"/>
      <c r="T51" s="31"/>
      <c r="U51" s="31"/>
      <c r="V51" s="31"/>
      <c r="W51" s="31"/>
      <c r="X51" s="31"/>
      <c r="Y51" s="31"/>
      <c r="Z51" s="31"/>
    </row>
    <row r="52" spans="1:26" ht="13.5" customHeight="1">
      <c r="A52" s="43"/>
      <c r="B52" s="43"/>
      <c r="C52" s="54"/>
      <c r="D52" s="55"/>
      <c r="E52" s="30"/>
      <c r="F52" s="55"/>
      <c r="G52" s="31"/>
      <c r="H52" s="31"/>
      <c r="I52" s="31"/>
      <c r="J52" s="31"/>
      <c r="K52" s="31"/>
      <c r="L52" s="31"/>
      <c r="M52" s="31"/>
      <c r="N52" s="31"/>
      <c r="O52" s="31"/>
      <c r="P52" s="31"/>
      <c r="Q52" s="31"/>
      <c r="R52" s="31"/>
      <c r="S52" s="31"/>
      <c r="T52" s="31"/>
      <c r="U52" s="31"/>
      <c r="V52" s="31"/>
      <c r="W52" s="31"/>
      <c r="X52" s="31"/>
      <c r="Y52" s="31"/>
      <c r="Z52" s="31"/>
    </row>
    <row r="53" spans="1:26" ht="13.5" customHeight="1">
      <c r="A53" s="43"/>
      <c r="B53" s="43"/>
      <c r="C53" s="54"/>
      <c r="D53" s="55"/>
      <c r="E53" s="34" t="s">
        <v>2599</v>
      </c>
      <c r="F53" s="35" t="s">
        <v>2600</v>
      </c>
      <c r="G53" s="31"/>
      <c r="H53" s="31"/>
      <c r="I53" s="31"/>
      <c r="J53" s="31"/>
      <c r="K53" s="31"/>
      <c r="L53" s="31"/>
      <c r="M53" s="31"/>
      <c r="N53" s="31"/>
      <c r="O53" s="31"/>
      <c r="P53" s="31"/>
      <c r="Q53" s="31"/>
      <c r="R53" s="31"/>
      <c r="S53" s="31"/>
      <c r="T53" s="31"/>
      <c r="U53" s="31"/>
      <c r="V53" s="31"/>
      <c r="W53" s="31"/>
      <c r="X53" s="31"/>
      <c r="Y53" s="31"/>
      <c r="Z53" s="31"/>
    </row>
    <row r="54" spans="1:26" ht="13.5" customHeight="1">
      <c r="A54" s="67" t="s">
        <v>356</v>
      </c>
      <c r="B54" s="68"/>
      <c r="C54" s="69" t="s">
        <v>2661</v>
      </c>
      <c r="D54" s="70" t="s">
        <v>2662</v>
      </c>
      <c r="E54" s="71" t="s">
        <v>2663</v>
      </c>
      <c r="F54" s="69" t="str">
        <f ca="1">IFERROR(__xludf.DUMMYFUNCTION("GOOGLETRANSLATE(E54,""en"",""ja"")"),"アーキテクチャおよびインターフェース設計は、他の関係者によって実施されます。")</f>
        <v>アーキテクチャおよびインターフェース設計は、他の関係者によって実施されます。</v>
      </c>
      <c r="G54" s="31"/>
      <c r="H54" s="31"/>
      <c r="I54" s="31"/>
      <c r="J54" s="31"/>
      <c r="K54" s="31"/>
      <c r="L54" s="31"/>
      <c r="M54" s="31"/>
      <c r="N54" s="31"/>
      <c r="O54" s="31"/>
      <c r="P54" s="31"/>
      <c r="Q54" s="31"/>
      <c r="R54" s="31"/>
      <c r="S54" s="31"/>
      <c r="T54" s="31"/>
      <c r="U54" s="31"/>
      <c r="V54" s="31"/>
      <c r="W54" s="31"/>
      <c r="X54" s="31"/>
      <c r="Y54" s="31"/>
      <c r="Z54" s="31"/>
    </row>
    <row r="55" spans="1:26" ht="13.5" customHeight="1">
      <c r="A55" s="72"/>
      <c r="B55" s="73" t="s">
        <v>357</v>
      </c>
      <c r="C55" s="69" t="s">
        <v>2664</v>
      </c>
      <c r="D55" s="70"/>
      <c r="E55" s="71"/>
      <c r="F55" s="70"/>
      <c r="G55" s="31"/>
      <c r="H55" s="31"/>
      <c r="I55" s="31"/>
      <c r="J55" s="31"/>
      <c r="K55" s="31"/>
      <c r="L55" s="31"/>
      <c r="M55" s="31"/>
      <c r="N55" s="31"/>
      <c r="O55" s="31"/>
      <c r="P55" s="31"/>
      <c r="Q55" s="31"/>
      <c r="R55" s="31"/>
      <c r="S55" s="31"/>
      <c r="T55" s="31"/>
      <c r="U55" s="31"/>
      <c r="V55" s="31"/>
      <c r="W55" s="31"/>
      <c r="X55" s="31"/>
      <c r="Y55" s="31"/>
      <c r="Z55" s="31"/>
    </row>
    <row r="56" spans="1:26" ht="13.5" customHeight="1">
      <c r="A56" s="74"/>
      <c r="B56" s="73" t="s">
        <v>370</v>
      </c>
      <c r="C56" s="69" t="s">
        <v>2665</v>
      </c>
      <c r="D56" s="70"/>
      <c r="E56" s="71"/>
      <c r="F56" s="70"/>
      <c r="G56" s="31"/>
      <c r="H56" s="31"/>
      <c r="I56" s="31"/>
      <c r="J56" s="31"/>
      <c r="K56" s="31"/>
      <c r="L56" s="31"/>
      <c r="M56" s="31"/>
      <c r="N56" s="31"/>
      <c r="O56" s="31"/>
      <c r="P56" s="31"/>
      <c r="Q56" s="31"/>
      <c r="R56" s="31"/>
      <c r="S56" s="31"/>
      <c r="T56" s="31"/>
      <c r="U56" s="31"/>
      <c r="V56" s="31"/>
      <c r="W56" s="31"/>
      <c r="X56" s="31"/>
      <c r="Y56" s="31"/>
      <c r="Z56" s="31"/>
    </row>
    <row r="57" spans="1:26" ht="13.5" customHeight="1">
      <c r="A57" s="43"/>
      <c r="B57" s="43"/>
      <c r="C57" s="54"/>
      <c r="D57" s="55"/>
      <c r="E57" s="30"/>
      <c r="F57" s="55"/>
      <c r="G57" s="31"/>
      <c r="H57" s="31"/>
      <c r="I57" s="31"/>
      <c r="J57" s="31"/>
      <c r="K57" s="31"/>
      <c r="L57" s="31"/>
      <c r="M57" s="31"/>
      <c r="N57" s="31"/>
      <c r="O57" s="31"/>
      <c r="P57" s="31"/>
      <c r="Q57" s="31"/>
      <c r="R57" s="31"/>
      <c r="S57" s="31"/>
      <c r="T57" s="31"/>
      <c r="U57" s="31"/>
      <c r="V57" s="31"/>
      <c r="W57" s="31"/>
      <c r="X57" s="31"/>
      <c r="Y57" s="31"/>
      <c r="Z57" s="31"/>
    </row>
    <row r="58" spans="1:26" ht="13.5" customHeight="1">
      <c r="A58" s="43"/>
      <c r="B58" s="43"/>
      <c r="C58" s="54"/>
      <c r="D58" s="55"/>
      <c r="E58" s="30"/>
      <c r="F58" s="55"/>
      <c r="G58" s="31"/>
      <c r="H58" s="31"/>
      <c r="I58" s="31"/>
      <c r="J58" s="31"/>
      <c r="K58" s="31"/>
      <c r="L58" s="31"/>
      <c r="M58" s="31"/>
      <c r="N58" s="31"/>
      <c r="O58" s="31"/>
      <c r="P58" s="31"/>
      <c r="Q58" s="31"/>
      <c r="R58" s="31"/>
      <c r="S58" s="31"/>
      <c r="T58" s="31"/>
      <c r="U58" s="31"/>
      <c r="V58" s="31"/>
      <c r="W58" s="31"/>
      <c r="X58" s="31"/>
      <c r="Y58" s="31"/>
      <c r="Z58" s="31"/>
    </row>
    <row r="59" spans="1:26" ht="13.5" customHeight="1">
      <c r="A59" s="43"/>
      <c r="B59" s="43"/>
      <c r="C59" s="54"/>
      <c r="D59" s="55"/>
      <c r="E59" s="34" t="s">
        <v>2599</v>
      </c>
      <c r="F59" s="35" t="s">
        <v>2600</v>
      </c>
      <c r="G59" s="31"/>
      <c r="H59" s="31"/>
      <c r="I59" s="31"/>
      <c r="J59" s="31"/>
      <c r="K59" s="31"/>
      <c r="L59" s="31"/>
      <c r="M59" s="31"/>
      <c r="N59" s="31"/>
      <c r="O59" s="31"/>
      <c r="P59" s="31"/>
      <c r="Q59" s="31"/>
      <c r="R59" s="31"/>
      <c r="S59" s="31"/>
      <c r="T59" s="31"/>
      <c r="U59" s="31"/>
      <c r="V59" s="31"/>
      <c r="W59" s="31"/>
      <c r="X59" s="31"/>
      <c r="Y59" s="31"/>
      <c r="Z59" s="31"/>
    </row>
    <row r="60" spans="1:26" ht="13.5" customHeight="1">
      <c r="A60" s="67" t="s">
        <v>388</v>
      </c>
      <c r="B60" s="68"/>
      <c r="C60" s="69" t="s">
        <v>2666</v>
      </c>
      <c r="D60" s="70" t="s">
        <v>2662</v>
      </c>
      <c r="E60" s="71" t="s">
        <v>2667</v>
      </c>
      <c r="F60" s="69" t="str">
        <f ca="1">IFERROR(__xludf.DUMMYFUNCTION("GOOGLETRANSLATE(E60,""en"",""ja"")"),"外部ユーザーとのインタラクションは、OEMおよびシステムTire1によって設計されています。")</f>
        <v>外部ユーザーとのインタラクションは、OEMおよびシステムTire1によって設計されています。</v>
      </c>
      <c r="G60" s="31"/>
      <c r="H60" s="31"/>
      <c r="I60" s="31"/>
      <c r="J60" s="31"/>
      <c r="K60" s="31"/>
      <c r="L60" s="31"/>
      <c r="M60" s="31"/>
      <c r="N60" s="31"/>
      <c r="O60" s="31"/>
      <c r="P60" s="31"/>
      <c r="Q60" s="31"/>
      <c r="R60" s="31"/>
      <c r="S60" s="31"/>
      <c r="T60" s="31"/>
      <c r="U60" s="31"/>
      <c r="V60" s="31"/>
      <c r="W60" s="31"/>
      <c r="X60" s="31"/>
      <c r="Y60" s="31"/>
      <c r="Z60" s="31"/>
    </row>
    <row r="61" spans="1:26" ht="13.5" customHeight="1">
      <c r="A61" s="72"/>
      <c r="B61" s="73" t="s">
        <v>2668</v>
      </c>
      <c r="C61" s="69" t="s">
        <v>2669</v>
      </c>
      <c r="D61" s="70"/>
      <c r="E61" s="71"/>
      <c r="F61" s="70"/>
      <c r="G61" s="31"/>
      <c r="H61" s="31"/>
      <c r="I61" s="31"/>
      <c r="J61" s="31"/>
      <c r="K61" s="31"/>
      <c r="L61" s="31"/>
      <c r="M61" s="31"/>
      <c r="N61" s="31"/>
      <c r="O61" s="31"/>
      <c r="P61" s="31"/>
      <c r="Q61" s="31"/>
      <c r="R61" s="31"/>
      <c r="S61" s="31"/>
      <c r="T61" s="31"/>
      <c r="U61" s="31"/>
      <c r="V61" s="31"/>
      <c r="W61" s="31"/>
      <c r="X61" s="31"/>
      <c r="Y61" s="31"/>
      <c r="Z61" s="31"/>
    </row>
    <row r="62" spans="1:26" ht="13.5" customHeight="1">
      <c r="A62" s="72"/>
      <c r="B62" s="73" t="s">
        <v>404</v>
      </c>
      <c r="C62" s="69" t="s">
        <v>2670</v>
      </c>
      <c r="D62" s="70"/>
      <c r="E62" s="71"/>
      <c r="F62" s="70"/>
      <c r="G62" s="31"/>
      <c r="H62" s="31"/>
      <c r="I62" s="31"/>
      <c r="J62" s="31"/>
      <c r="K62" s="31"/>
      <c r="L62" s="31"/>
      <c r="M62" s="31"/>
      <c r="N62" s="31"/>
      <c r="O62" s="31"/>
      <c r="P62" s="31"/>
      <c r="Q62" s="31"/>
      <c r="R62" s="31"/>
      <c r="S62" s="31"/>
      <c r="T62" s="31"/>
      <c r="U62" s="31"/>
      <c r="V62" s="31"/>
      <c r="W62" s="31"/>
      <c r="X62" s="31"/>
      <c r="Y62" s="31"/>
      <c r="Z62" s="31"/>
    </row>
    <row r="63" spans="1:26" ht="13.5" customHeight="1">
      <c r="A63" s="72"/>
      <c r="B63" s="73" t="s">
        <v>422</v>
      </c>
      <c r="C63" s="69" t="s">
        <v>2671</v>
      </c>
      <c r="D63" s="70"/>
      <c r="E63" s="71"/>
      <c r="F63" s="70"/>
      <c r="G63" s="31"/>
      <c r="H63" s="31"/>
      <c r="I63" s="31"/>
      <c r="J63" s="31"/>
      <c r="K63" s="31"/>
      <c r="L63" s="31"/>
      <c r="M63" s="31"/>
      <c r="N63" s="31"/>
      <c r="O63" s="31"/>
      <c r="P63" s="31"/>
      <c r="Q63" s="31"/>
      <c r="R63" s="31"/>
      <c r="S63" s="31"/>
      <c r="T63" s="31"/>
      <c r="U63" s="31"/>
      <c r="V63" s="31"/>
      <c r="W63" s="31"/>
      <c r="X63" s="31"/>
      <c r="Y63" s="31"/>
      <c r="Z63" s="31"/>
    </row>
    <row r="64" spans="1:26" ht="13.5" customHeight="1">
      <c r="A64" s="72"/>
      <c r="B64" s="73" t="s">
        <v>2672</v>
      </c>
      <c r="C64" s="69" t="s">
        <v>2673</v>
      </c>
      <c r="D64" s="70"/>
      <c r="E64" s="71"/>
      <c r="F64" s="70"/>
      <c r="G64" s="31"/>
      <c r="H64" s="31"/>
      <c r="I64" s="31"/>
      <c r="J64" s="31"/>
      <c r="K64" s="31"/>
      <c r="L64" s="31"/>
      <c r="M64" s="31"/>
      <c r="N64" s="31"/>
      <c r="O64" s="31"/>
      <c r="P64" s="31"/>
      <c r="Q64" s="31"/>
      <c r="R64" s="31"/>
      <c r="S64" s="31"/>
      <c r="T64" s="31"/>
      <c r="U64" s="31"/>
      <c r="V64" s="31"/>
      <c r="W64" s="31"/>
      <c r="X64" s="31"/>
      <c r="Y64" s="31"/>
      <c r="Z64" s="31"/>
    </row>
    <row r="65" spans="1:26" ht="13.5" customHeight="1">
      <c r="A65" s="72"/>
      <c r="B65" s="73" t="s">
        <v>2674</v>
      </c>
      <c r="C65" s="69" t="s">
        <v>2675</v>
      </c>
      <c r="D65" s="70"/>
      <c r="E65" s="71"/>
      <c r="F65" s="70"/>
      <c r="G65" s="31"/>
      <c r="H65" s="31"/>
      <c r="I65" s="31"/>
      <c r="J65" s="31"/>
      <c r="K65" s="31"/>
      <c r="L65" s="31"/>
      <c r="M65" s="31"/>
      <c r="N65" s="31"/>
      <c r="O65" s="31"/>
      <c r="P65" s="31"/>
      <c r="Q65" s="31"/>
      <c r="R65" s="31"/>
      <c r="S65" s="31"/>
      <c r="T65" s="31"/>
      <c r="U65" s="31"/>
      <c r="V65" s="31"/>
      <c r="W65" s="31"/>
      <c r="X65" s="31"/>
      <c r="Y65" s="31"/>
      <c r="Z65" s="31"/>
    </row>
    <row r="66" spans="1:26" ht="13.5" customHeight="1">
      <c r="A66" s="72"/>
      <c r="B66" s="73" t="s">
        <v>508</v>
      </c>
      <c r="C66" s="69" t="s">
        <v>2676</v>
      </c>
      <c r="D66" s="70"/>
      <c r="E66" s="71"/>
      <c r="F66" s="70"/>
      <c r="G66" s="31"/>
      <c r="H66" s="31"/>
      <c r="I66" s="31"/>
      <c r="J66" s="31"/>
      <c r="K66" s="31"/>
      <c r="L66" s="31"/>
      <c r="M66" s="31"/>
      <c r="N66" s="31"/>
      <c r="O66" s="31"/>
      <c r="P66" s="31"/>
      <c r="Q66" s="31"/>
      <c r="R66" s="31"/>
      <c r="S66" s="31"/>
      <c r="T66" s="31"/>
      <c r="U66" s="31"/>
      <c r="V66" s="31"/>
      <c r="W66" s="31"/>
      <c r="X66" s="31"/>
      <c r="Y66" s="31"/>
      <c r="Z66" s="31"/>
    </row>
    <row r="67" spans="1:26" ht="13.5" customHeight="1">
      <c r="A67" s="72"/>
      <c r="B67" s="73" t="s">
        <v>2677</v>
      </c>
      <c r="C67" s="69" t="s">
        <v>2678</v>
      </c>
      <c r="D67" s="70"/>
      <c r="E67" s="71"/>
      <c r="F67" s="70"/>
      <c r="G67" s="31"/>
      <c r="H67" s="31"/>
      <c r="I67" s="31"/>
      <c r="J67" s="31"/>
      <c r="K67" s="31"/>
      <c r="L67" s="31"/>
      <c r="M67" s="31"/>
      <c r="N67" s="31"/>
      <c r="O67" s="31"/>
      <c r="P67" s="31"/>
      <c r="Q67" s="31"/>
      <c r="R67" s="31"/>
      <c r="S67" s="31"/>
      <c r="T67" s="31"/>
      <c r="U67" s="31"/>
      <c r="V67" s="31"/>
      <c r="W67" s="31"/>
      <c r="X67" s="31"/>
      <c r="Y67" s="31"/>
      <c r="Z67" s="31"/>
    </row>
    <row r="68" spans="1:26" ht="13.5" customHeight="1">
      <c r="A68" s="74"/>
      <c r="B68" s="73" t="s">
        <v>2679</v>
      </c>
      <c r="C68" s="69" t="s">
        <v>2680</v>
      </c>
      <c r="D68" s="70"/>
      <c r="E68" s="71"/>
      <c r="F68" s="70"/>
      <c r="G68" s="31"/>
      <c r="H68" s="31"/>
      <c r="I68" s="31"/>
      <c r="J68" s="31"/>
      <c r="K68" s="31"/>
      <c r="L68" s="31"/>
      <c r="M68" s="31"/>
      <c r="N68" s="31"/>
      <c r="O68" s="31"/>
      <c r="P68" s="31"/>
      <c r="Q68" s="31"/>
      <c r="R68" s="31"/>
      <c r="S68" s="31"/>
      <c r="T68" s="31"/>
      <c r="U68" s="31"/>
      <c r="V68" s="31"/>
      <c r="W68" s="31"/>
      <c r="X68" s="31"/>
      <c r="Y68" s="31"/>
      <c r="Z68" s="31"/>
    </row>
    <row r="69" spans="1:26" ht="13.5" customHeight="1">
      <c r="A69" s="43"/>
      <c r="B69" s="43"/>
      <c r="C69" s="54"/>
      <c r="D69" s="55"/>
      <c r="E69" s="30"/>
      <c r="F69" s="55"/>
      <c r="G69" s="31"/>
      <c r="H69" s="31"/>
      <c r="I69" s="31"/>
      <c r="J69" s="31"/>
      <c r="K69" s="31"/>
      <c r="L69" s="31"/>
      <c r="M69" s="31"/>
      <c r="N69" s="31"/>
      <c r="O69" s="31"/>
      <c r="P69" s="31"/>
      <c r="Q69" s="31"/>
      <c r="R69" s="31"/>
      <c r="S69" s="31"/>
      <c r="T69" s="31"/>
      <c r="U69" s="31"/>
      <c r="V69" s="31"/>
      <c r="W69" s="31"/>
      <c r="X69" s="31"/>
      <c r="Y69" s="31"/>
      <c r="Z69" s="31"/>
    </row>
    <row r="70" spans="1:26" ht="13.5" customHeight="1">
      <c r="A70" s="43"/>
      <c r="B70" s="43"/>
      <c r="C70" s="54"/>
      <c r="D70" s="55"/>
      <c r="E70" s="30"/>
      <c r="F70" s="55"/>
      <c r="G70" s="31"/>
      <c r="H70" s="31"/>
      <c r="I70" s="31"/>
      <c r="J70" s="31"/>
      <c r="K70" s="31"/>
      <c r="L70" s="31"/>
      <c r="M70" s="31"/>
      <c r="N70" s="31"/>
      <c r="O70" s="31"/>
      <c r="P70" s="31"/>
      <c r="Q70" s="31"/>
      <c r="R70" s="31"/>
      <c r="S70" s="31"/>
      <c r="T70" s="31"/>
      <c r="U70" s="31"/>
      <c r="V70" s="31"/>
      <c r="W70" s="31"/>
      <c r="X70" s="31"/>
      <c r="Y70" s="31"/>
      <c r="Z70" s="31"/>
    </row>
    <row r="71" spans="1:26" ht="13.5" customHeight="1">
      <c r="A71" s="43"/>
      <c r="B71" s="43"/>
      <c r="C71" s="54"/>
      <c r="D71" s="55"/>
      <c r="E71" s="34" t="s">
        <v>2599</v>
      </c>
      <c r="F71" s="35" t="s">
        <v>2600</v>
      </c>
      <c r="G71" s="31"/>
      <c r="H71" s="31"/>
      <c r="I71" s="31"/>
      <c r="J71" s="31"/>
      <c r="K71" s="31"/>
      <c r="L71" s="31"/>
      <c r="M71" s="31"/>
      <c r="N71" s="31"/>
      <c r="O71" s="31"/>
      <c r="P71" s="31"/>
      <c r="Q71" s="31"/>
      <c r="R71" s="31"/>
      <c r="S71" s="31"/>
      <c r="T71" s="31"/>
      <c r="U71" s="31"/>
      <c r="V71" s="31"/>
      <c r="W71" s="31"/>
      <c r="X71" s="31"/>
      <c r="Y71" s="31"/>
      <c r="Z71" s="31"/>
    </row>
    <row r="72" spans="1:26" ht="13.5" customHeight="1">
      <c r="A72" s="67" t="s">
        <v>994</v>
      </c>
      <c r="B72" s="68"/>
      <c r="C72" s="69" t="s">
        <v>2681</v>
      </c>
      <c r="D72" s="70" t="s">
        <v>2662</v>
      </c>
      <c r="E72" s="71" t="s">
        <v>2682</v>
      </c>
      <c r="F72" s="69" t="str">
        <f ca="1">IFERROR(__xludf.DUMMYFUNCTION("GOOGLETRANSLATE(E72,""en"",""ja"")"),"製品バリエーションの場合、センサーの変更を考慮に入れると、安全性分析において、安全性が重要な動作境界に影響を与えるかどうか、プロトタイピング能力を確認する必要があります。")</f>
        <v>製品バリエーションの場合、センサーの変更を考慮に入れると、安全性分析において、安全性が重要な動作境界に影響を与えるかどうか、プロトタイピング能力を確認する必要があります。</v>
      </c>
      <c r="G72" s="31"/>
      <c r="H72" s="31"/>
      <c r="I72" s="31"/>
      <c r="J72" s="31"/>
      <c r="K72" s="31"/>
      <c r="L72" s="31"/>
      <c r="M72" s="31"/>
      <c r="N72" s="31"/>
      <c r="O72" s="31"/>
      <c r="P72" s="31"/>
      <c r="Q72" s="31"/>
      <c r="R72" s="31"/>
      <c r="S72" s="31"/>
      <c r="T72" s="31"/>
      <c r="U72" s="31"/>
      <c r="V72" s="31"/>
      <c r="W72" s="31"/>
      <c r="X72" s="31"/>
      <c r="Y72" s="31"/>
      <c r="Z72" s="31"/>
    </row>
    <row r="73" spans="1:26" ht="13.5" customHeight="1">
      <c r="A73" s="72"/>
      <c r="B73" s="73" t="s">
        <v>995</v>
      </c>
      <c r="C73" s="69" t="s">
        <v>2683</v>
      </c>
      <c r="D73" s="70"/>
      <c r="E73" s="71"/>
      <c r="F73" s="70"/>
      <c r="G73" s="31"/>
      <c r="H73" s="31"/>
      <c r="I73" s="31"/>
      <c r="J73" s="31"/>
      <c r="K73" s="31"/>
      <c r="L73" s="31"/>
      <c r="M73" s="31"/>
      <c r="N73" s="31"/>
      <c r="O73" s="31"/>
      <c r="P73" s="31"/>
      <c r="Q73" s="31"/>
      <c r="R73" s="31"/>
      <c r="S73" s="31"/>
      <c r="T73" s="31"/>
      <c r="U73" s="31"/>
      <c r="V73" s="31"/>
      <c r="W73" s="31"/>
      <c r="X73" s="31"/>
      <c r="Y73" s="31"/>
      <c r="Z73" s="31"/>
    </row>
    <row r="74" spans="1:26" ht="13.5" customHeight="1">
      <c r="A74" s="72"/>
      <c r="B74" s="73" t="s">
        <v>1012</v>
      </c>
      <c r="C74" s="69" t="s">
        <v>2684</v>
      </c>
      <c r="D74" s="70"/>
      <c r="E74" s="71"/>
      <c r="F74" s="70"/>
      <c r="G74" s="31"/>
      <c r="H74" s="31"/>
      <c r="I74" s="31"/>
      <c r="J74" s="31"/>
      <c r="K74" s="31"/>
      <c r="L74" s="31"/>
      <c r="M74" s="31"/>
      <c r="N74" s="31"/>
      <c r="O74" s="31"/>
      <c r="P74" s="31"/>
      <c r="Q74" s="31"/>
      <c r="R74" s="31"/>
      <c r="S74" s="31"/>
      <c r="T74" s="31"/>
      <c r="U74" s="31"/>
      <c r="V74" s="31"/>
      <c r="W74" s="31"/>
      <c r="X74" s="31"/>
      <c r="Y74" s="31"/>
      <c r="Z74" s="31"/>
    </row>
    <row r="75" spans="1:26" ht="13.5" customHeight="1">
      <c r="A75" s="72"/>
      <c r="B75" s="73" t="s">
        <v>1025</v>
      </c>
      <c r="C75" s="69" t="s">
        <v>2685</v>
      </c>
      <c r="D75" s="70"/>
      <c r="E75" s="71"/>
      <c r="F75" s="70"/>
      <c r="G75" s="31"/>
      <c r="H75" s="31"/>
      <c r="I75" s="31"/>
      <c r="J75" s="31"/>
      <c r="K75" s="31"/>
      <c r="L75" s="31"/>
      <c r="M75" s="31"/>
      <c r="N75" s="31"/>
      <c r="O75" s="31"/>
      <c r="P75" s="31"/>
      <c r="Q75" s="31"/>
      <c r="R75" s="31"/>
      <c r="S75" s="31"/>
      <c r="T75" s="31"/>
      <c r="U75" s="31"/>
      <c r="V75" s="31"/>
      <c r="W75" s="31"/>
      <c r="X75" s="31"/>
      <c r="Y75" s="31"/>
      <c r="Z75" s="31"/>
    </row>
    <row r="76" spans="1:26" ht="13.5" customHeight="1">
      <c r="A76" s="74"/>
      <c r="B76" s="73" t="s">
        <v>1040</v>
      </c>
      <c r="C76" s="69" t="s">
        <v>2686</v>
      </c>
      <c r="D76" s="70"/>
      <c r="E76" s="71"/>
      <c r="F76" s="70"/>
      <c r="G76" s="31"/>
      <c r="H76" s="31"/>
      <c r="I76" s="31"/>
      <c r="J76" s="31"/>
      <c r="K76" s="31"/>
      <c r="L76" s="31"/>
      <c r="M76" s="31"/>
      <c r="N76" s="31"/>
      <c r="O76" s="31"/>
      <c r="P76" s="31"/>
      <c r="Q76" s="31"/>
      <c r="R76" s="31"/>
      <c r="S76" s="31"/>
      <c r="T76" s="31"/>
      <c r="U76" s="31"/>
      <c r="V76" s="31"/>
      <c r="W76" s="31"/>
      <c r="X76" s="31"/>
      <c r="Y76" s="31"/>
      <c r="Z76" s="31"/>
    </row>
    <row r="77" spans="1:26" ht="13.5" customHeight="1">
      <c r="A77" s="31"/>
      <c r="B77" s="31"/>
      <c r="C77" s="46"/>
      <c r="D77" s="31"/>
      <c r="E77" s="30"/>
      <c r="F77" s="31"/>
      <c r="G77" s="31"/>
      <c r="H77" s="31"/>
      <c r="I77" s="31"/>
      <c r="J77" s="31"/>
      <c r="K77" s="31"/>
      <c r="L77" s="31"/>
      <c r="M77" s="31"/>
      <c r="N77" s="31"/>
      <c r="O77" s="31"/>
      <c r="P77" s="31"/>
      <c r="Q77" s="31"/>
      <c r="R77" s="31"/>
      <c r="S77" s="31"/>
      <c r="T77" s="31"/>
      <c r="U77" s="31"/>
      <c r="V77" s="31"/>
      <c r="W77" s="31"/>
      <c r="X77" s="31"/>
      <c r="Y77" s="31"/>
      <c r="Z77" s="31"/>
    </row>
    <row r="78" spans="1:26" ht="13.5" customHeight="1">
      <c r="A78" s="31"/>
      <c r="B78" s="31"/>
      <c r="C78" s="46"/>
      <c r="D78" s="31"/>
      <c r="E78" s="30"/>
      <c r="F78" s="31"/>
      <c r="G78" s="31"/>
      <c r="H78" s="31"/>
      <c r="I78" s="31"/>
      <c r="J78" s="31"/>
      <c r="K78" s="31"/>
      <c r="L78" s="31"/>
      <c r="M78" s="31"/>
      <c r="N78" s="31"/>
      <c r="O78" s="31"/>
      <c r="P78" s="31"/>
      <c r="Q78" s="31"/>
      <c r="R78" s="31"/>
      <c r="S78" s="31"/>
      <c r="T78" s="31"/>
      <c r="U78" s="31"/>
      <c r="V78" s="31"/>
      <c r="W78" s="31"/>
      <c r="X78" s="31"/>
      <c r="Y78" s="31"/>
      <c r="Z78" s="31"/>
    </row>
    <row r="79" spans="1:26" ht="13.5" customHeight="1">
      <c r="A79" s="31"/>
      <c r="B79" s="31"/>
      <c r="C79" s="46"/>
      <c r="D79" s="31"/>
      <c r="E79" s="30"/>
      <c r="F79" s="31"/>
      <c r="G79" s="31"/>
      <c r="H79" s="31"/>
      <c r="I79" s="31"/>
      <c r="J79" s="31"/>
      <c r="K79" s="31"/>
      <c r="L79" s="31"/>
      <c r="M79" s="31"/>
      <c r="N79" s="31"/>
      <c r="O79" s="31"/>
      <c r="P79" s="31"/>
      <c r="Q79" s="31"/>
      <c r="R79" s="31"/>
      <c r="S79" s="31"/>
      <c r="T79" s="31"/>
      <c r="U79" s="31"/>
      <c r="V79" s="31"/>
      <c r="W79" s="31"/>
      <c r="X79" s="31"/>
      <c r="Y79" s="31"/>
      <c r="Z79" s="31"/>
    </row>
    <row r="80" spans="1:26" ht="13.5" customHeight="1">
      <c r="A80" s="31" t="s">
        <v>2687</v>
      </c>
      <c r="B80" s="31"/>
      <c r="C80" s="46"/>
      <c r="D80" s="31"/>
      <c r="E80" s="30"/>
      <c r="F80" s="31"/>
      <c r="G80" s="31"/>
      <c r="H80" s="31"/>
      <c r="I80" s="31"/>
      <c r="J80" s="31"/>
      <c r="K80" s="31"/>
      <c r="L80" s="31"/>
      <c r="M80" s="31"/>
      <c r="N80" s="31"/>
      <c r="O80" s="31"/>
      <c r="P80" s="31"/>
      <c r="Q80" s="31"/>
      <c r="R80" s="31"/>
      <c r="S80" s="31"/>
      <c r="T80" s="31"/>
      <c r="U80" s="31"/>
      <c r="V80" s="31"/>
      <c r="W80" s="31"/>
      <c r="X80" s="31"/>
      <c r="Y80" s="31"/>
      <c r="Z80" s="31"/>
    </row>
    <row r="81" spans="1:26" ht="13.5" customHeight="1">
      <c r="E81" s="33"/>
    </row>
    <row r="82" spans="1:26" ht="13.5" customHeight="1">
      <c r="A82" s="27"/>
      <c r="B82" s="27"/>
      <c r="C82" s="28"/>
      <c r="D82" s="29"/>
      <c r="E82" s="30"/>
      <c r="F82" s="29" t="s">
        <v>2598</v>
      </c>
    </row>
    <row r="83" spans="1:26" ht="13.5" customHeight="1">
      <c r="A83" s="32"/>
      <c r="B83" s="33"/>
      <c r="C83" s="30"/>
      <c r="D83" s="29"/>
      <c r="E83" s="34" t="s">
        <v>2599</v>
      </c>
      <c r="F83" s="35" t="s">
        <v>2600</v>
      </c>
    </row>
    <row r="84" spans="1:26" ht="13.5" customHeight="1">
      <c r="A84" s="36" t="s">
        <v>2688</v>
      </c>
      <c r="B84" s="37"/>
      <c r="C84" s="38" t="s">
        <v>2689</v>
      </c>
      <c r="D84" s="39" t="s">
        <v>2602</v>
      </c>
      <c r="E84" s="38"/>
      <c r="F84" s="38"/>
    </row>
    <row r="85" spans="1:26" ht="13.5" customHeight="1">
      <c r="A85" s="40"/>
      <c r="B85" s="41" t="s">
        <v>2690</v>
      </c>
      <c r="C85" s="38" t="s">
        <v>2691</v>
      </c>
      <c r="D85" s="39" t="s">
        <v>2602</v>
      </c>
      <c r="E85" s="38" t="s">
        <v>2692</v>
      </c>
      <c r="F85" s="38" t="str">
        <f ca="1">IFERROR(__xludf.DUMMYFUNCTION("GOOGLETRANSLATE(E6,""en"",""ja"")"),"運用上の危険に遭遇した場合、安全なパラメータまたは状態の範囲内で動作を制限する必要がある。
1. 知覚は、物理的に妥当な範囲またはODD（運用設計上の制約）が有効な範囲外の物体/運動学を主張してはならない。
2. プランニングは、車両/力学/法的制限を超える操縦を指示してはならない。
違反（誤作動、実行不可能な軌道など）は、直接的な危害の前兆となる。L3は、快適性を重視したL2よりも、一般的に厳しい制約範囲を必要とする。")</f>
        <v>運用上の危険に遭遇した場合、安全なパラメータまたは状態の範囲内で動作を制限する必要がある。
1. 知覚は、物理的に妥当な範囲またはODD（運用設計上の制約）が有効な範囲外の物体/運動学を主張してはならない。
2. プランニングは、車両/力学/法的制限を超える操縦を指示してはならない。
違反（誤作動、実行不可能な軌道など）は、直接的な危害の前兆となる。L3は、快適性を重視したL2よりも、一般的に厳しい制約範囲を必要とする。</v>
      </c>
    </row>
    <row r="86" spans="1:26" ht="13.5" customHeight="1">
      <c r="A86" s="40"/>
      <c r="B86" s="41"/>
      <c r="C86" s="38" t="s">
        <v>2693</v>
      </c>
      <c r="D86" s="39" t="s">
        <v>2602</v>
      </c>
      <c r="E86" s="38" t="s">
        <v>2694</v>
      </c>
      <c r="F86" s="38" t="str">
        <f ca="1">IFERROR(__xludf.DUMMYFUNCTION("GOOGLETRANSLATE(E7,""en"",""ja"")"),"FUSA/SOTIF/AIの安全基準を参照してください。")</f>
        <v>FUSA/SOTIF/AIの安全基準を参照してください。</v>
      </c>
    </row>
    <row r="87" spans="1:26" ht="13.5" customHeight="1">
      <c r="A87" s="40"/>
      <c r="B87" s="41" t="s">
        <v>1460</v>
      </c>
      <c r="C87" s="38"/>
      <c r="D87" s="39" t="s">
        <v>2602</v>
      </c>
      <c r="E87" s="38" t="s">
        <v>2695</v>
      </c>
      <c r="F87" s="38" t="str">
        <f ca="1">IFERROR(__xludf.DUMMYFUNCTION("GOOGLETRANSLATE(E8,""en"",""ja"")"),"障害発生時または不自然な入力があった場合、製品は安全な動作モードに移行するか、安全な状態に戻る必要があります（25010:2023）。AIコンポーネントは、異常な入力を正常な入力として扱ってはなりません（ゴーストオブジェクト、古いフレームなど）。信頼性の高い安全でないコマンドよりも、制限付き劣化＋引き継ぎ／終了を優先してください。フェイルセーフパスがテストされていない場合、平均精度は関係ありません。")</f>
        <v>障害発生時または不自然な入力があった場合、製品は安全な動作モードに移行するか、安全な状態に戻る必要があります（25010:2023）。AIコンポーネントは、異常な入力を正常な入力として扱ってはなりません（ゴーストオブジェクト、古いフレームなど）。信頼性の高い安全でないコマンドよりも、制限付き劣化＋引き継ぎ／終了を優先してください。フェイルセーフパスがテストされていない場合、平均精度は関係ありません。</v>
      </c>
    </row>
    <row r="88" spans="1:26" ht="13.5" customHeight="1">
      <c r="A88" s="40"/>
      <c r="B88" s="41" t="s">
        <v>1504</v>
      </c>
      <c r="C88" s="38"/>
      <c r="D88" s="39" t="s">
        <v>2602</v>
      </c>
      <c r="E88" s="38" t="s">
        <v>2696</v>
      </c>
      <c r="F88" s="38" t="str">
        <f ca="1">IFERROR(__xludf.DUMMYFUNCTION("GOOGLETRANSLATE(E9,""en"",""ja"")"),"製品は、許容できないリスクを警告し、オペレーターまたは上流のロジックがタイムリーに対応できるようにする必要があります。知覚/計画が契約上、引き継ぎ要求、注意喚起アラート、または診断警告を提供する場合は必須です。別のECUが所有する警告を持つ純粋なバックエンドコンポーネント：安全な統合テストでインターフェースとタイミングを確認します。完全なHMIユーザビリティは、インタラクション機能で実現できます。")</f>
        <v>製品は、許容できないリスクを警告し、オペレーターまたは上流のロジックがタイムリーに対応できるようにする必要があります。知覚/計画が契約上、引き継ぎ要求、注意喚起アラート、または診断警告を提供する場合は必須です。別のECUが所有する警告を持つ純粋なバックエンドコンポーネント：安全な統合テストでインターフェースとタイミングを確認します。完全なHMIユーザビリティは、インタラクション機能で実現できます。</v>
      </c>
      <c r="G88" s="31"/>
      <c r="H88" s="31"/>
      <c r="I88" s="31"/>
      <c r="J88" s="31"/>
      <c r="K88" s="31"/>
      <c r="L88" s="31"/>
      <c r="M88" s="31"/>
      <c r="N88" s="31"/>
      <c r="O88" s="31"/>
      <c r="P88" s="31"/>
      <c r="Q88" s="31"/>
      <c r="R88" s="31"/>
      <c r="S88" s="31"/>
      <c r="T88" s="31"/>
      <c r="U88" s="31"/>
      <c r="V88" s="31"/>
      <c r="W88" s="31"/>
      <c r="X88" s="31"/>
      <c r="Y88" s="31"/>
      <c r="Z88" s="31"/>
    </row>
    <row r="89" spans="1:26" ht="13.5" customHeight="1">
      <c r="A89" s="40"/>
      <c r="B89" s="41" t="s">
        <v>1540</v>
      </c>
      <c r="C89" s="38"/>
      <c r="D89" s="39" t="s">
        <v>2602</v>
      </c>
      <c r="E89" s="38" t="s">
        <v>2697</v>
      </c>
      <c r="F89" s="38" t="str">
        <f ca="1">IFERROR(__xludf.DUMMYFUNCTION("GOOGLETRANSLATE(E10,""en"",""ja"")"),"1. 他のコンポーネントとの統合中および統合後も、安全性は維持されなければなりません。認識／計画の不具合は、多くの場合、フルスタック構成でのみ発生します（フレームの誤り、IDの引き継ぎ、軌道の遅延など）。
2. リリース評価には、モジュール単体のベンチではなく、統合構成を含める必要があります。")</f>
        <v>1. 他のコンポーネントとの統合中および統合後も、安全性は維持されなければなりません。認識／計画の不具合は、多くの場合、フルスタック構成でのみ発生します（フレームの誤り、IDの引き継ぎ、軌道の遅延など）。
2. リリース評価には、モジュール単体のベンチではなく、統合構成を含める必要があります。</v>
      </c>
      <c r="G89" s="31"/>
      <c r="H89" s="31"/>
      <c r="I89" s="31"/>
      <c r="J89" s="31"/>
      <c r="K89" s="31"/>
      <c r="L89" s="31"/>
      <c r="M89" s="31"/>
      <c r="N89" s="31"/>
      <c r="O89" s="31"/>
      <c r="P89" s="31"/>
      <c r="Q89" s="31"/>
      <c r="R89" s="31"/>
      <c r="S89" s="31"/>
      <c r="T89" s="31"/>
      <c r="U89" s="31"/>
      <c r="V89" s="31"/>
      <c r="W89" s="31"/>
      <c r="X89" s="31"/>
      <c r="Y89" s="31"/>
      <c r="Z89" s="31"/>
    </row>
    <row r="90" spans="1:26" ht="13.5" customHeight="1">
      <c r="A90" s="75"/>
      <c r="B90" s="76" t="s">
        <v>1568</v>
      </c>
      <c r="C90" s="58"/>
      <c r="D90" s="59" t="s">
        <v>2641</v>
      </c>
      <c r="E90" s="60" t="s">
        <v>2698</v>
      </c>
      <c r="F90" s="58" t="str">
        <f ca="1">IFERROR(__xludf.DUMMYFUNCTION("GOOGLETRANSLATE(E11,""en"",""ja"")"),"#VALUE!")</f>
        <v>#VALUE!</v>
      </c>
      <c r="G90" s="31"/>
      <c r="H90" s="31"/>
      <c r="I90" s="31"/>
      <c r="J90" s="31"/>
      <c r="K90" s="31"/>
      <c r="L90" s="31"/>
      <c r="M90" s="31"/>
      <c r="N90" s="31"/>
      <c r="O90" s="31"/>
      <c r="P90" s="31"/>
      <c r="Q90" s="31"/>
      <c r="R90" s="31"/>
      <c r="S90" s="31"/>
      <c r="T90" s="31"/>
      <c r="U90" s="31"/>
      <c r="V90" s="31"/>
      <c r="W90" s="31"/>
      <c r="X90" s="31"/>
      <c r="Y90" s="31"/>
      <c r="Z90" s="31"/>
    </row>
    <row r="91" spans="1:26" ht="13.5" customHeight="1">
      <c r="A91" s="43"/>
      <c r="B91" s="43"/>
      <c r="C91" s="54"/>
      <c r="D91" s="55"/>
      <c r="E91" s="30"/>
      <c r="F91" s="55"/>
      <c r="G91" s="31"/>
      <c r="H91" s="31"/>
      <c r="I91" s="31"/>
      <c r="J91" s="31"/>
      <c r="K91" s="31"/>
      <c r="L91" s="31"/>
      <c r="M91" s="31"/>
      <c r="N91" s="31"/>
      <c r="O91" s="31"/>
      <c r="P91" s="31"/>
      <c r="Q91" s="31"/>
      <c r="R91" s="31"/>
      <c r="S91" s="31"/>
      <c r="T91" s="31"/>
      <c r="U91" s="31"/>
      <c r="V91" s="31"/>
      <c r="W91" s="31"/>
      <c r="X91" s="31"/>
      <c r="Y91" s="31"/>
      <c r="Z91" s="31"/>
    </row>
    <row r="92" spans="1:26" ht="13.5" customHeight="1">
      <c r="A92" s="43"/>
      <c r="B92" s="43"/>
      <c r="C92" s="54"/>
      <c r="D92" s="55"/>
      <c r="E92" s="30"/>
      <c r="F92" s="55"/>
      <c r="G92" s="31"/>
      <c r="H92" s="31"/>
      <c r="I92" s="31"/>
      <c r="J92" s="31"/>
      <c r="K92" s="31"/>
      <c r="L92" s="31"/>
      <c r="M92" s="31"/>
      <c r="N92" s="31"/>
      <c r="O92" s="31"/>
      <c r="P92" s="31"/>
      <c r="Q92" s="31"/>
      <c r="R92" s="31"/>
      <c r="S92" s="31"/>
      <c r="T92" s="31"/>
      <c r="U92" s="31"/>
      <c r="V92" s="31"/>
      <c r="W92" s="31"/>
      <c r="X92" s="31"/>
      <c r="Y92" s="31"/>
      <c r="Z92" s="31"/>
    </row>
    <row r="93" spans="1:26" ht="13.5" customHeight="1">
      <c r="A93" s="43"/>
      <c r="B93" s="43"/>
      <c r="C93" s="54"/>
      <c r="D93" s="55"/>
      <c r="E93" s="34" t="s">
        <v>2599</v>
      </c>
      <c r="F93" s="35" t="s">
        <v>2600</v>
      </c>
      <c r="G93" s="31"/>
      <c r="H93" s="31"/>
      <c r="I93" s="31"/>
      <c r="J93" s="31"/>
      <c r="K93" s="31"/>
      <c r="L93" s="31"/>
      <c r="M93" s="31"/>
      <c r="N93" s="31"/>
      <c r="O93" s="31"/>
      <c r="P93" s="31"/>
      <c r="Q93" s="31"/>
      <c r="R93" s="31"/>
      <c r="S93" s="31"/>
      <c r="T93" s="31"/>
      <c r="U93" s="31"/>
      <c r="V93" s="31"/>
      <c r="W93" s="31"/>
      <c r="X93" s="31"/>
      <c r="Y93" s="31"/>
      <c r="Z93" s="31"/>
    </row>
    <row r="94" spans="1:26" ht="13.5" customHeight="1">
      <c r="A94" s="47" t="s">
        <v>2699</v>
      </c>
      <c r="B94" s="48"/>
      <c r="C94" s="38"/>
      <c r="D94" s="39" t="s">
        <v>2602</v>
      </c>
      <c r="E94" s="38"/>
      <c r="F94" s="38" t="str">
        <f ca="1">IFERROR(__xludf.DUMMYFUNCTION("GOOGLETRANSLATE(E15,""en"",""ja"")"),"1. コアとなる配信は、正しい意味論と時空間関係に基づいています。
2. FN/FP、誤ったトラック関連付け、誤った速度、実行不可能な経路、ルールやダイナミクスに違反する計画は機能上の欠陥であり、FPSを上げても修正できません。
3. 誤った出力は、L2/L3レベルで誤ったブレーキ/操舵意図となります。")</f>
        <v>1. コアとなる配信は、正しい意味論と時空間関係に基づいています。
2. FN/FP、誤ったトラック関連付け、誤った速度、実行不可能な経路、ルールやダイナミクスに違反する計画は機能上の欠陥であり、FPSを上げても修正できません。
3. 誤った出力は、L2/L3レベルで誤ったブレーキ/操舵意図となります。</v>
      </c>
      <c r="G94" s="31"/>
      <c r="H94" s="31"/>
      <c r="I94" s="31"/>
      <c r="J94" s="31"/>
      <c r="K94" s="31"/>
      <c r="L94" s="31"/>
      <c r="M94" s="31"/>
      <c r="N94" s="31"/>
      <c r="O94" s="31"/>
      <c r="P94" s="31"/>
      <c r="Q94" s="31"/>
      <c r="R94" s="31"/>
      <c r="S94" s="31"/>
      <c r="T94" s="31"/>
      <c r="U94" s="31"/>
      <c r="V94" s="31"/>
      <c r="W94" s="31"/>
      <c r="X94" s="31"/>
      <c r="Y94" s="31"/>
      <c r="Z94" s="31"/>
    </row>
    <row r="95" spans="1:26" ht="13.5" customHeight="1">
      <c r="A95" s="77"/>
      <c r="B95" s="78" t="s">
        <v>598</v>
      </c>
      <c r="C95" s="58"/>
      <c r="D95" s="59" t="s">
        <v>2641</v>
      </c>
      <c r="E95" s="60" t="s">
        <v>2700</v>
      </c>
      <c r="F95" s="58" t="str">
        <f ca="1">IFERROR(__xludf.DUMMYFUNCTION("GOOGLETRANSLATE(E16,""en"",""ja"")"),"1. 数値的には「正しい」ものの、インターフェースやセマンティクスが間違っていると、誤用（例：信頼の欠如→過信）につながる。
2. 機能の意図に対して計画が積極的すぎる、あるいは保守的すぎると、アクティベーションやL2/L3ホールドが損なわれる。
3. 適切なユーザーが出力を正しく使用することを保証する。")</f>
        <v>1. 数値的には「正しい」ものの、インターフェースやセマンティクスが間違っていると、誤用（例：信頼の欠如→過信）につながる。
2. 機能の意図に対して計画が積極的すぎる、あるいは保守的すぎると、アクティベーションやL2/L3ホールドが損なわれる。
3. 適切なユーザーが出力を正しく使用することを保証する。</v>
      </c>
      <c r="G95" s="31"/>
      <c r="H95" s="31"/>
      <c r="I95" s="31"/>
      <c r="J95" s="31"/>
      <c r="K95" s="31"/>
      <c r="L95" s="31"/>
      <c r="M95" s="31"/>
      <c r="N95" s="31"/>
      <c r="O95" s="31"/>
      <c r="P95" s="31"/>
      <c r="Q95" s="31"/>
      <c r="R95" s="31"/>
      <c r="S95" s="31"/>
      <c r="T95" s="31"/>
      <c r="U95" s="31"/>
      <c r="V95" s="31"/>
      <c r="W95" s="31"/>
      <c r="X95" s="31"/>
      <c r="Y95" s="31"/>
      <c r="Z95" s="31"/>
    </row>
    <row r="96" spans="1:26" ht="13.5" customHeight="1">
      <c r="A96" s="77"/>
      <c r="B96" s="78" t="s">
        <v>2701</v>
      </c>
      <c r="C96" s="58"/>
      <c r="D96" s="59" t="s">
        <v>2641</v>
      </c>
      <c r="E96" s="60" t="s">
        <v>2702</v>
      </c>
      <c r="F96" s="58" t="str">
        <f ca="1">IFERROR(__xludf.DUMMYFUNCTION("GOOGLETRANSLATE(E17,""en"",""ja"")"),"#VALUE!")</f>
        <v>#VALUE!</v>
      </c>
      <c r="G96" s="31"/>
      <c r="H96" s="31"/>
      <c r="I96" s="31"/>
      <c r="J96" s="31"/>
      <c r="K96" s="31"/>
      <c r="L96" s="31"/>
      <c r="M96" s="31"/>
      <c r="N96" s="31"/>
      <c r="O96" s="31"/>
      <c r="P96" s="31"/>
      <c r="Q96" s="31"/>
      <c r="R96" s="31"/>
      <c r="S96" s="31"/>
      <c r="T96" s="31"/>
      <c r="U96" s="31"/>
      <c r="V96" s="31"/>
      <c r="W96" s="31"/>
      <c r="X96" s="31"/>
      <c r="Y96" s="31"/>
      <c r="Z96" s="31"/>
    </row>
    <row r="97" spans="1:26" ht="13.5" customHeight="1">
      <c r="A97" s="79"/>
      <c r="B97" s="78" t="s">
        <v>669</v>
      </c>
      <c r="C97" s="58"/>
      <c r="D97" s="59" t="s">
        <v>2641</v>
      </c>
      <c r="E97" s="60" t="s">
        <v>2703</v>
      </c>
      <c r="F97" s="58" t="str">
        <f ca="1">IFERROR(__xludf.DUMMYFUNCTION("GOOGLETRANSLATE(E18,""en"",""ja"")"),"#VALUE!")</f>
        <v>#VALUE!</v>
      </c>
      <c r="G97" s="31"/>
      <c r="H97" s="31"/>
      <c r="I97" s="31"/>
      <c r="J97" s="31"/>
      <c r="K97" s="31"/>
      <c r="L97" s="31"/>
      <c r="M97" s="31"/>
      <c r="N97" s="31"/>
      <c r="O97" s="31"/>
      <c r="P97" s="31"/>
      <c r="Q97" s="31"/>
      <c r="R97" s="31"/>
      <c r="S97" s="31"/>
      <c r="T97" s="31"/>
      <c r="U97" s="31"/>
      <c r="V97" s="31"/>
      <c r="W97" s="31"/>
      <c r="X97" s="31"/>
      <c r="Y97" s="31"/>
      <c r="Z97" s="31"/>
    </row>
    <row r="98" spans="1:26" ht="13.5" customHeight="1">
      <c r="A98" s="43"/>
      <c r="B98" s="43"/>
      <c r="C98" s="54"/>
      <c r="D98" s="55"/>
      <c r="E98" s="30"/>
      <c r="F98" s="55"/>
      <c r="G98" s="31"/>
      <c r="H98" s="31"/>
      <c r="I98" s="31"/>
      <c r="J98" s="31"/>
      <c r="K98" s="31"/>
      <c r="L98" s="31"/>
      <c r="M98" s="31"/>
      <c r="N98" s="31"/>
      <c r="O98" s="31"/>
      <c r="P98" s="31"/>
      <c r="Q98" s="31"/>
      <c r="R98" s="31"/>
      <c r="S98" s="31"/>
      <c r="T98" s="31"/>
      <c r="U98" s="31"/>
      <c r="V98" s="31"/>
      <c r="W98" s="31"/>
      <c r="X98" s="31"/>
      <c r="Y98" s="31"/>
      <c r="Z98" s="31"/>
    </row>
    <row r="99" spans="1:26" ht="13.5" customHeight="1">
      <c r="A99" s="43"/>
      <c r="B99" s="43"/>
      <c r="C99" s="54"/>
      <c r="D99" s="55"/>
      <c r="E99" s="34" t="s">
        <v>2599</v>
      </c>
      <c r="F99" s="35" t="s">
        <v>2600</v>
      </c>
      <c r="G99" s="31"/>
      <c r="H99" s="31"/>
      <c r="I99" s="31"/>
      <c r="J99" s="31"/>
      <c r="K99" s="31"/>
      <c r="L99" s="31"/>
      <c r="M99" s="31"/>
      <c r="N99" s="31"/>
      <c r="O99" s="31"/>
      <c r="P99" s="31"/>
      <c r="Q99" s="31"/>
      <c r="R99" s="31"/>
      <c r="S99" s="31"/>
      <c r="T99" s="31"/>
      <c r="U99" s="31"/>
      <c r="V99" s="31"/>
      <c r="W99" s="31"/>
      <c r="X99" s="31"/>
      <c r="Y99" s="31"/>
      <c r="Z99" s="31"/>
    </row>
    <row r="100" spans="1:26" ht="13.5" customHeight="1">
      <c r="A100" s="47" t="s">
        <v>2704</v>
      </c>
      <c r="B100" s="48"/>
      <c r="C100" s="38"/>
      <c r="D100" s="39" t="s">
        <v>2602</v>
      </c>
      <c r="E100" s="38"/>
      <c r="F100" s="38"/>
      <c r="G100" s="31"/>
      <c r="H100" s="31"/>
      <c r="I100" s="31"/>
      <c r="J100" s="31"/>
      <c r="K100" s="31"/>
      <c r="L100" s="31"/>
      <c r="M100" s="31"/>
      <c r="N100" s="31"/>
      <c r="O100" s="31"/>
      <c r="P100" s="31"/>
      <c r="Q100" s="31"/>
      <c r="R100" s="31"/>
      <c r="S100" s="31"/>
      <c r="T100" s="31"/>
      <c r="U100" s="31"/>
      <c r="V100" s="31"/>
      <c r="W100" s="31"/>
      <c r="X100" s="31"/>
      <c r="Y100" s="31"/>
      <c r="Z100" s="31"/>
    </row>
    <row r="101" spans="1:26" ht="13.5" customHeight="1">
      <c r="A101" s="77"/>
      <c r="B101" s="78" t="s">
        <v>1592</v>
      </c>
      <c r="C101" s="58"/>
      <c r="D101" s="59" t="s">
        <v>2641</v>
      </c>
      <c r="E101" s="60" t="s">
        <v>2705</v>
      </c>
      <c r="F101" s="58" t="str">
        <f ca="1">IFERROR(__xludf.DUMMYFUNCTION("GOOGLETRANSLATE(E22,""en"",""ja"")"),"1. リソース枯渇 → スケジューリングの劣化、フレーム落ち、プリエンプション → 断続的な認識ギャップまたはプランニングのジャンプ。
2. 固定生産ECU：3. リソース制限なしでベンチテスト合格／車両テスト不合格。")</f>
        <v>1. リソース枯渇 → スケジューリングの劣化、フレーム落ち、プリエンプション → 断続的な認識ギャップまたはプランニングのジャンプ。
2. 固定生産ECU：3. リソース制限なしでベンチテスト合格／車両テスト不合格。</v>
      </c>
      <c r="G101" s="31"/>
      <c r="H101" s="31"/>
      <c r="I101" s="31"/>
      <c r="J101" s="31"/>
      <c r="K101" s="31"/>
      <c r="L101" s="31"/>
      <c r="M101" s="31"/>
      <c r="N101" s="31"/>
      <c r="O101" s="31"/>
      <c r="P101" s="31"/>
      <c r="Q101" s="31"/>
      <c r="R101" s="31"/>
      <c r="S101" s="31"/>
      <c r="T101" s="31"/>
      <c r="U101" s="31"/>
      <c r="V101" s="31"/>
      <c r="W101" s="31"/>
      <c r="X101" s="31"/>
      <c r="Y101" s="31"/>
      <c r="Z101" s="31"/>
    </row>
    <row r="102" spans="1:26" ht="13.5" customHeight="1">
      <c r="A102" s="51"/>
      <c r="B102" s="52" t="s">
        <v>1609</v>
      </c>
      <c r="C102" s="49"/>
      <c r="D102" s="50" t="s">
        <v>2602</v>
      </c>
      <c r="E102" s="38" t="s">
        <v>2706</v>
      </c>
      <c r="F102" s="49" t="str">
        <f ca="1">IFERROR(__xludf.DUMMYFUNCTION("GOOGLETRANSLATE(E23,""en"",""ja"")"),"1. 混雑、工事、複数VRU（仮想道路利用者）における上限値を定義します。
2. 未検証のドロップポリシー（遠距離/小規模/低信頼度）は、最も近い脅威を破棄する可能性があります。")</f>
        <v>1. 混雑、工事、複数VRU（仮想道路利用者）における上限値を定義します。
2. 未検証のドロップポリシー（遠距離/小規模/低信頼度）は、最も近い脅威を破棄する可能性があります。</v>
      </c>
      <c r="G102" s="31"/>
      <c r="H102" s="31"/>
      <c r="I102" s="31"/>
      <c r="J102" s="31"/>
      <c r="K102" s="31"/>
      <c r="L102" s="31"/>
      <c r="M102" s="31"/>
      <c r="N102" s="31"/>
      <c r="O102" s="31"/>
      <c r="P102" s="31"/>
      <c r="Q102" s="31"/>
      <c r="R102" s="31"/>
      <c r="S102" s="31"/>
      <c r="T102" s="31"/>
      <c r="U102" s="31"/>
      <c r="V102" s="31"/>
      <c r="W102" s="31"/>
      <c r="X102" s="31"/>
      <c r="Y102" s="31"/>
      <c r="Z102" s="31"/>
    </row>
    <row r="103" spans="1:26" ht="13.5" customHeight="1">
      <c r="A103" s="51"/>
      <c r="B103" s="52" t="s">
        <v>698</v>
      </c>
      <c r="C103" s="49"/>
      <c r="D103" s="50" t="s">
        <v>2602</v>
      </c>
      <c r="E103" s="38" t="s">
        <v>2707</v>
      </c>
      <c r="F103" s="49" t="str">
        <f ca="1">IFERROR(__xludf.DUMMYFUNCTION("GOOGLETRANSLATE(E24,""en"",""ja"")"),"#VALUE!")</f>
        <v>#VALUE!</v>
      </c>
      <c r="G103" s="31"/>
      <c r="H103" s="31"/>
      <c r="I103" s="31"/>
      <c r="J103" s="31"/>
      <c r="K103" s="31"/>
      <c r="L103" s="31"/>
      <c r="M103" s="31"/>
      <c r="N103" s="31"/>
      <c r="O103" s="31"/>
      <c r="P103" s="31"/>
      <c r="Q103" s="31"/>
      <c r="R103" s="31"/>
      <c r="S103" s="31"/>
      <c r="T103" s="31"/>
      <c r="U103" s="31"/>
      <c r="V103" s="31"/>
      <c r="W103" s="31"/>
      <c r="X103" s="31"/>
      <c r="Y103" s="31"/>
      <c r="Z103" s="31"/>
    </row>
    <row r="104" spans="1:26" ht="13.5" customHeight="1">
      <c r="A104" s="61"/>
      <c r="B104" s="62" t="s">
        <v>1223</v>
      </c>
      <c r="C104" s="63"/>
      <c r="D104" s="64" t="s">
        <v>2662</v>
      </c>
      <c r="E104" s="65"/>
      <c r="F104" s="49"/>
      <c r="G104" s="31"/>
      <c r="H104" s="31"/>
      <c r="I104" s="31"/>
      <c r="J104" s="31"/>
      <c r="K104" s="31"/>
      <c r="L104" s="31"/>
      <c r="M104" s="31"/>
      <c r="N104" s="31"/>
      <c r="O104" s="31"/>
      <c r="P104" s="31"/>
      <c r="Q104" s="31"/>
      <c r="R104" s="31"/>
      <c r="S104" s="31"/>
      <c r="T104" s="31"/>
      <c r="U104" s="31"/>
      <c r="V104" s="31"/>
      <c r="W104" s="31"/>
      <c r="X104" s="31"/>
      <c r="Y104" s="31"/>
      <c r="Z104" s="31"/>
    </row>
    <row r="105" spans="1:26" ht="13.5" customHeight="1">
      <c r="A105" s="51"/>
      <c r="B105" s="41" t="s">
        <v>1664</v>
      </c>
      <c r="C105" s="49"/>
      <c r="D105" s="50"/>
      <c r="E105" s="38" t="s">
        <v>2708</v>
      </c>
      <c r="F105" s="49" t="str">
        <f ca="1">IFERROR(__xludf.DUMMYFUNCTION("GOOGLETRANSLATE(E26,""en"",""ja"")"),"根拠")</f>
        <v>根拠</v>
      </c>
      <c r="G105" s="31"/>
      <c r="H105" s="31"/>
      <c r="I105" s="31"/>
      <c r="J105" s="31"/>
      <c r="K105" s="31"/>
      <c r="L105" s="31"/>
      <c r="M105" s="31"/>
      <c r="N105" s="31"/>
      <c r="O105" s="31"/>
      <c r="P105" s="31"/>
      <c r="Q105" s="31"/>
      <c r="R105" s="31"/>
      <c r="S105" s="31"/>
      <c r="T105" s="31"/>
      <c r="U105" s="31"/>
      <c r="V105" s="31"/>
      <c r="W105" s="31"/>
      <c r="X105" s="31"/>
      <c r="Y105" s="31"/>
      <c r="Z105" s="31"/>
    </row>
    <row r="106" spans="1:26" ht="13.5" customHeight="1">
      <c r="A106" s="51"/>
      <c r="B106" s="52" t="s">
        <v>2709</v>
      </c>
      <c r="C106" s="38"/>
      <c r="D106" s="39"/>
      <c r="E106" s="38" t="s">
        <v>2710</v>
      </c>
      <c r="F106" s="38" t="str">
        <f ca="1">IFERROR(__xludf.DUMMYFUNCTION("GOOGLETRANSLATE(E27,""en"",""ja"")"),"対象となるSWCは安全関連部品であるため、異常入力、タイムアウト、故障検出などに対する劣化した安全な出力を保証するために、故障検出と処理が必須となります。")</f>
        <v>対象となるSWCは安全関連部品であるため、異常入力、タイムアウト、故障検出などに対する劣化した安全な出力を保証するために、故障検出と処理が必須となります。</v>
      </c>
      <c r="G106" s="31"/>
      <c r="H106" s="31"/>
      <c r="I106" s="31"/>
      <c r="J106" s="31"/>
      <c r="K106" s="31"/>
      <c r="L106" s="31"/>
      <c r="M106" s="31"/>
      <c r="N106" s="31"/>
      <c r="O106" s="31"/>
      <c r="P106" s="31"/>
      <c r="Q106" s="31"/>
      <c r="R106" s="31"/>
      <c r="S106" s="31"/>
      <c r="T106" s="31"/>
      <c r="U106" s="31"/>
      <c r="V106" s="31"/>
      <c r="W106" s="31"/>
      <c r="X106" s="31"/>
      <c r="Y106" s="31"/>
      <c r="Z106" s="31"/>
    </row>
    <row r="107" spans="1:26" ht="13.5" customHeight="1">
      <c r="A107" s="51"/>
      <c r="B107" s="41" t="s">
        <v>1694</v>
      </c>
      <c r="C107" s="49"/>
      <c r="D107" s="50"/>
      <c r="E107" s="38" t="s">
        <v>2711</v>
      </c>
      <c r="F107" s="49" t="str">
        <f ca="1">IFERROR(__xludf.DUMMYFUNCTION("GOOGLETRANSLATE(E28,""en"",""ja"")"),"1. AIの認識・計画においては、想定されるODD（異常検出）および標準的な入力条件下において、機能障害（誤検出、誤った関連付け、実行不可能または危険な計画）の発生率が低いことを意味します。これは、狭いベンチマークで高いスコアを獲得することだけを意味するものではありません。デモセットにおける1つの優れたKPIだけでは、障害がないことを証明することはできません。
2. L3（レベル3）は通常、ロングテールおよび多様な標準条件下における証拠を必要とし、リリース後の欠陥収束も求められます。これは、動作が「正常"&amp;"」ではなくなった場合に適用されるフォールトトレランスとは異なります。")</f>
        <v>1. AIの認識・計画においては、想定されるODD（異常検出）および標準的な入力条件下において、機能障害（誤検出、誤った関連付け、実行不可能または危険な計画）の発生率が低いことを意味します。これは、狭いベンチマークで高いスコアを獲得することだけを意味するものではありません。デモセットにおける1つの優れたKPIだけでは、障害がないことを証明することはできません。
2. L3（レベル3）は通常、ロングテールおよび多様な標準条件下における証拠を必要とし、リリース後の欠陥収束も求められます。これは、動作が「正常」ではなくなった場合に適用されるフォールトトレランスとは異なります。</v>
      </c>
      <c r="G107" s="31"/>
      <c r="H107" s="31"/>
      <c r="I107" s="31"/>
      <c r="J107" s="31"/>
      <c r="K107" s="31"/>
      <c r="L107" s="31"/>
      <c r="M107" s="31"/>
      <c r="N107" s="31"/>
      <c r="O107" s="31"/>
      <c r="P107" s="31"/>
      <c r="Q107" s="31"/>
      <c r="R107" s="31"/>
      <c r="S107" s="31"/>
      <c r="T107" s="31"/>
      <c r="U107" s="31"/>
      <c r="V107" s="31"/>
      <c r="W107" s="31"/>
      <c r="X107" s="31"/>
      <c r="Y107" s="31"/>
      <c r="Z107" s="31"/>
    </row>
    <row r="108" spans="1:26" ht="13.5" customHeight="1">
      <c r="A108" s="31"/>
      <c r="B108" s="31"/>
      <c r="C108" s="44"/>
      <c r="D108" s="31"/>
      <c r="E108" s="30"/>
      <c r="F108" s="31"/>
      <c r="G108" s="31"/>
      <c r="H108" s="31"/>
      <c r="I108" s="31"/>
      <c r="J108" s="31"/>
      <c r="K108" s="31"/>
      <c r="L108" s="31"/>
      <c r="M108" s="31"/>
      <c r="N108" s="31"/>
      <c r="O108" s="31"/>
      <c r="P108" s="31"/>
      <c r="Q108" s="31"/>
      <c r="R108" s="31"/>
      <c r="S108" s="31"/>
      <c r="T108" s="31"/>
      <c r="U108" s="31"/>
      <c r="V108" s="31"/>
      <c r="W108" s="31"/>
      <c r="X108" s="31"/>
      <c r="Y108" s="31"/>
      <c r="Z108" s="31"/>
    </row>
    <row r="109" spans="1:26" ht="13.5" customHeight="1">
      <c r="A109" s="31"/>
      <c r="B109" s="31"/>
      <c r="C109" s="44"/>
      <c r="D109" s="31"/>
      <c r="E109" s="30"/>
      <c r="F109" s="31"/>
      <c r="G109" s="31"/>
      <c r="H109" s="31"/>
      <c r="I109" s="31"/>
      <c r="J109" s="31"/>
      <c r="K109" s="31"/>
      <c r="L109" s="31"/>
      <c r="M109" s="31"/>
      <c r="N109" s="31"/>
      <c r="O109" s="31"/>
      <c r="P109" s="31"/>
      <c r="Q109" s="31"/>
      <c r="R109" s="31"/>
      <c r="S109" s="31"/>
      <c r="T109" s="31"/>
      <c r="U109" s="31"/>
      <c r="V109" s="31"/>
      <c r="W109" s="31"/>
      <c r="X109" s="31"/>
      <c r="Y109" s="31"/>
      <c r="Z109" s="31"/>
    </row>
    <row r="110" spans="1:26" ht="13.5" customHeight="1">
      <c r="A110" s="31"/>
      <c r="B110" s="31"/>
      <c r="C110" s="44"/>
      <c r="D110" s="31"/>
      <c r="E110" s="30"/>
      <c r="F110" s="31"/>
      <c r="G110" s="31"/>
      <c r="H110" s="31"/>
      <c r="I110" s="31"/>
      <c r="J110" s="31"/>
      <c r="K110" s="31"/>
      <c r="L110" s="31"/>
      <c r="M110" s="31"/>
      <c r="N110" s="31"/>
      <c r="O110" s="31"/>
      <c r="P110" s="31"/>
      <c r="Q110" s="31"/>
      <c r="R110" s="31"/>
      <c r="S110" s="31"/>
      <c r="T110" s="31"/>
      <c r="U110" s="31"/>
      <c r="V110" s="31"/>
      <c r="W110" s="31"/>
      <c r="X110" s="31"/>
      <c r="Y110" s="31"/>
      <c r="Z110" s="31"/>
    </row>
    <row r="111" spans="1:26" ht="13.5" customHeight="1">
      <c r="A111" s="31"/>
      <c r="B111" s="31"/>
      <c r="C111" s="44"/>
      <c r="D111" s="31"/>
      <c r="E111" s="30"/>
      <c r="F111" s="31"/>
      <c r="G111" s="31"/>
      <c r="H111" s="31"/>
      <c r="I111" s="31"/>
      <c r="J111" s="31"/>
      <c r="K111" s="31"/>
      <c r="L111" s="31"/>
      <c r="M111" s="31"/>
      <c r="N111" s="31"/>
      <c r="O111" s="31"/>
      <c r="P111" s="31"/>
      <c r="Q111" s="31"/>
      <c r="R111" s="31"/>
      <c r="S111" s="31"/>
      <c r="T111" s="31"/>
      <c r="U111" s="31"/>
      <c r="V111" s="31"/>
      <c r="W111" s="31"/>
      <c r="X111" s="31"/>
      <c r="Y111" s="31"/>
      <c r="Z111" s="31"/>
    </row>
    <row r="112" spans="1:26" ht="13.5" customHeight="1">
      <c r="B112" s="44" t="s">
        <v>2712</v>
      </c>
      <c r="D112" s="29" t="s">
        <v>2713</v>
      </c>
      <c r="I112" s="31"/>
      <c r="J112" s="31"/>
      <c r="K112" s="31"/>
      <c r="L112" s="31"/>
      <c r="M112" s="31"/>
      <c r="N112" s="31"/>
      <c r="O112" s="31"/>
      <c r="P112" s="31"/>
      <c r="Q112" s="31"/>
      <c r="R112" s="31"/>
      <c r="S112" s="31"/>
      <c r="T112" s="31"/>
      <c r="U112" s="31"/>
      <c r="V112" s="31"/>
      <c r="W112" s="31"/>
      <c r="X112" s="31"/>
      <c r="Y112" s="31"/>
      <c r="Z112" s="31"/>
    </row>
    <row r="113" spans="1:26" ht="13.5" customHeight="1">
      <c r="B113" s="8"/>
      <c r="D113" s="29" t="s">
        <v>2598</v>
      </c>
      <c r="I113" s="31"/>
      <c r="J113" s="31"/>
      <c r="K113" s="31"/>
      <c r="L113" s="31"/>
      <c r="M113" s="31"/>
      <c r="N113" s="31"/>
      <c r="O113" s="31"/>
      <c r="P113" s="31"/>
      <c r="Q113" s="31"/>
      <c r="R113" s="31"/>
      <c r="S113" s="31"/>
      <c r="T113" s="31"/>
      <c r="U113" s="31"/>
      <c r="V113" s="31"/>
      <c r="W113" s="31"/>
      <c r="X113" s="31"/>
      <c r="Y113" s="31"/>
      <c r="Z113" s="31"/>
    </row>
    <row r="114" spans="1:26" ht="13.5" customHeight="1">
      <c r="A114" s="34" t="s">
        <v>2714</v>
      </c>
      <c r="B114" s="34" t="s">
        <v>2715</v>
      </c>
      <c r="C114" s="34" t="s">
        <v>2716</v>
      </c>
      <c r="D114" s="34" t="s">
        <v>2717</v>
      </c>
      <c r="E114" s="34" t="s">
        <v>2718</v>
      </c>
      <c r="F114" s="34" t="s">
        <v>2600</v>
      </c>
      <c r="G114" s="34" t="s">
        <v>2719</v>
      </c>
      <c r="H114" s="34" t="s">
        <v>2719</v>
      </c>
      <c r="I114" s="31"/>
      <c r="J114" s="31"/>
      <c r="K114" s="31"/>
      <c r="L114" s="31"/>
      <c r="M114" s="31"/>
      <c r="N114" s="31"/>
      <c r="O114" s="31"/>
      <c r="P114" s="31"/>
      <c r="Q114" s="31"/>
      <c r="R114" s="31"/>
      <c r="S114" s="31"/>
      <c r="T114" s="31"/>
      <c r="U114" s="31"/>
      <c r="V114" s="31"/>
      <c r="W114" s="31"/>
      <c r="X114" s="31"/>
      <c r="Y114" s="31"/>
      <c r="Z114" s="31"/>
    </row>
    <row r="115" spans="1:26" ht="13.5" customHeight="1">
      <c r="A115" s="80" t="s">
        <v>1420</v>
      </c>
      <c r="B115" s="81" t="s">
        <v>2720</v>
      </c>
      <c r="C115" s="81" t="s">
        <v>2721</v>
      </c>
      <c r="D115" s="80" t="s">
        <v>1849</v>
      </c>
      <c r="E115" s="81" t="s">
        <v>2722</v>
      </c>
      <c r="F115" s="38" t="str">
        <f ca="1">IFERROR(__xludf.DUMMYFUNCTION("GOOGLETRANSLATE(F5,""en"",""ja"")"),"ICV開発に関して遵守すべき最も重要な品質特性。 ISO25010では、以下の安全性のサブ特性が大まかに記載されています。")</f>
        <v>ICV開発に関して遵守すべき最も重要な品質特性。 ISO25010では、以下の安全性のサブ特性が大まかに記載されています。</v>
      </c>
      <c r="G115" s="81" t="s">
        <v>2723</v>
      </c>
      <c r="H115" s="38" t="str">
        <f ca="1">IFERROR(__xludf.DUMMYFUNCTION("GOOGLETRANSLATE(H5,""en"",""ja"")"),"#VALUE!")</f>
        <v>#VALUE!</v>
      </c>
      <c r="I115" s="31"/>
      <c r="J115" s="31"/>
      <c r="K115" s="31"/>
      <c r="L115" s="31"/>
      <c r="M115" s="31"/>
      <c r="N115" s="31"/>
      <c r="O115" s="31"/>
      <c r="P115" s="31"/>
      <c r="Q115" s="31"/>
      <c r="R115" s="31"/>
      <c r="S115" s="31"/>
      <c r="T115" s="31"/>
      <c r="U115" s="31"/>
      <c r="V115" s="31"/>
      <c r="W115" s="31"/>
      <c r="X115" s="31"/>
      <c r="Y115" s="31"/>
      <c r="Z115" s="31"/>
    </row>
    <row r="116" spans="1:26" ht="13.5" customHeight="1">
      <c r="A116" s="80" t="s">
        <v>1460</v>
      </c>
      <c r="B116" s="81" t="s">
        <v>2724</v>
      </c>
      <c r="C116" s="81" t="s">
        <v>1460</v>
      </c>
      <c r="D116" s="80" t="s">
        <v>1849</v>
      </c>
      <c r="E116" s="81" t="s">
        <v>2725</v>
      </c>
      <c r="F116" s="38" t="str">
        <f ca="1">IFERROR(__xludf.DUMMYFUNCTION("GOOGLETRANSLATE(F6,""en"",""ja"")"),"運用上の危険に遭遇した場合、安全なパラメータまたは状態の範囲内で動作を制限する必要があります。
1. 知覚は、物理的に慎重な範囲またはODD（運用設計上の保留）が有効な範囲外の物体/運動学を主張してはならない。
2. プランニングは、車両/力学/法の制限を超える操縦縦断を示します。
まず（誤作動、実行不可能な歩道など）は、直接的な危険の前兆となる。L3は、快適性を重視したL2よりも、一般的に厳しい限界を必要とする。")</f>
        <v>運用上の危険に遭遇した場合、安全なパラメータまたは状態の範囲内で動作を制限する必要があります。
1. 知覚は、物理的に慎重な範囲またはODD（運用設計上の保留）が有効な範囲外の物体/運動学を主張してはならない。
2. プランニングは、車両/力学/法の制限を超える操縦縦断を示します。
まず（誤作動、実行不可能な歩道など）は、直接的な危険の前兆となる。L3は、快適性を重視したL2よりも、一般的に厳しい限界を必要とする。</v>
      </c>
      <c r="G116" s="81" t="s">
        <v>2726</v>
      </c>
      <c r="H116" s="38" t="str">
        <f ca="1">IFERROR(__xludf.DUMMYFUNCTION("GOOGLETRANSLATE(H6,""en"",""ja"")"),"#VALUE!")</f>
        <v>#VALUE!</v>
      </c>
      <c r="I116" s="31"/>
      <c r="J116" s="31"/>
      <c r="K116" s="31"/>
      <c r="L116" s="31"/>
      <c r="M116" s="31"/>
      <c r="N116" s="31"/>
      <c r="O116" s="31"/>
      <c r="P116" s="31"/>
      <c r="Q116" s="31"/>
      <c r="R116" s="31"/>
      <c r="S116" s="31"/>
      <c r="T116" s="31"/>
      <c r="U116" s="31"/>
      <c r="V116" s="31"/>
      <c r="W116" s="31"/>
      <c r="X116" s="31"/>
      <c r="Y116" s="31"/>
      <c r="Z116" s="31"/>
    </row>
    <row r="117" spans="1:26" ht="13.5" customHeight="1">
      <c r="A117" s="80" t="s">
        <v>2727</v>
      </c>
      <c r="B117" s="81" t="s">
        <v>2728</v>
      </c>
      <c r="C117" s="81" t="s">
        <v>2729</v>
      </c>
      <c r="D117" s="80" t="s">
        <v>1849</v>
      </c>
      <c r="E117" s="81" t="s">
        <v>2730</v>
      </c>
      <c r="F117" s="38" t="str">
        <f ca="1">IFERROR(__xludf.DUMMYFUNCTION("GOOGLETRANSLATE(F7,""en"",""ja"")"),"FUSA/SOTIF/AIの安全基準を参照してください。")</f>
        <v>FUSA/SOTIF/AIの安全基準を参照してください。</v>
      </c>
      <c r="G117" s="81" t="s">
        <v>2731</v>
      </c>
      <c r="H117" s="38" t="str">
        <f ca="1">IFERROR(__xludf.DUMMYFUNCTION("GOOGLETRANSLATE(H7,""en"",""ja"")"),"#VALUE!")</f>
        <v>#VALUE!</v>
      </c>
      <c r="I117" s="31"/>
      <c r="J117" s="31"/>
      <c r="K117" s="31"/>
      <c r="L117" s="31"/>
      <c r="M117" s="31"/>
      <c r="N117" s="31"/>
      <c r="O117" s="31"/>
      <c r="P117" s="31"/>
      <c r="Q117" s="31"/>
      <c r="R117" s="31"/>
      <c r="S117" s="31"/>
      <c r="T117" s="31"/>
      <c r="U117" s="31"/>
      <c r="V117" s="31"/>
      <c r="W117" s="31"/>
      <c r="X117" s="31"/>
      <c r="Y117" s="31"/>
      <c r="Z117" s="31"/>
    </row>
    <row r="118" spans="1:26" ht="13.5" customHeight="1">
      <c r="A118" s="82" t="s">
        <v>2732</v>
      </c>
      <c r="B118" s="83" t="s">
        <v>2733</v>
      </c>
      <c r="C118" s="83" t="s">
        <v>2734</v>
      </c>
      <c r="D118" s="82" t="s">
        <v>1849</v>
      </c>
      <c r="E118" s="83" t="s">
        <v>2735</v>
      </c>
      <c r="F118" s="84" t="str">
        <f ca="1">IFERROR(__xludf.DUMMYFUNCTION("GOOGLETRANSLATE(F8,""en"",""ja"")"),"障害発生時または不自然な入力があった場合、製品は安全な動作モードに移行するか、安全な状態に戻る必要があります（25010:2023）。")</f>
        <v>障害発生時または不自然な入力があった場合、製品は安全な動作モードに移行するか、安全な状態に戻る必要があります（25010:2023）。</v>
      </c>
      <c r="G118" s="83" t="s">
        <v>2736</v>
      </c>
      <c r="H118" s="84" t="str">
        <f ca="1">IFERROR(__xludf.DUMMYFUNCTION("GOOGLETRANSLATE(H8,""en"",""ja"")"),"#VALUE!")</f>
        <v>#VALUE!</v>
      </c>
      <c r="I118" s="31"/>
      <c r="J118" s="31"/>
      <c r="K118" s="31"/>
      <c r="L118" s="31"/>
      <c r="M118" s="31"/>
      <c r="N118" s="31"/>
      <c r="O118" s="31"/>
      <c r="P118" s="31"/>
      <c r="Q118" s="31"/>
      <c r="R118" s="31"/>
      <c r="S118" s="31"/>
      <c r="T118" s="31"/>
      <c r="U118" s="31"/>
      <c r="V118" s="31"/>
      <c r="W118" s="31"/>
      <c r="X118" s="31"/>
      <c r="Y118" s="31"/>
      <c r="Z118" s="31"/>
    </row>
    <row r="119" spans="1:26" ht="13.5" customHeight="1">
      <c r="A119" s="80" t="s">
        <v>742</v>
      </c>
      <c r="B119" s="81" t="s">
        <v>2737</v>
      </c>
      <c r="C119" s="81" t="s">
        <v>2738</v>
      </c>
      <c r="D119" s="80" t="s">
        <v>1849</v>
      </c>
      <c r="E119" s="81" t="s">
        <v>2739</v>
      </c>
      <c r="F119" s="38" t="str">
        <f ca="1">IFERROR(__xludf.DUMMYFUNCTION("GOOGLETRANSLATE(F9,""en"",""ja"")"),"製品は、許容できないリスクを警告し、オペレーターまたは上流のロジックがタイムリーに対応できるようにする必要があります。知覚/計画が契約上、引き継ぎ要求、注意喚起アラート、または診断警告を提供する場合は必須です。別のECUがすべて警告する純粋なバックエンドコンポーネント：安全な統合テストでインターフェースとタイミングを確認します。完全なHMIのユーザビリティは、インタラクション機能で実現できます。")</f>
        <v>製品は、許容できないリスクを警告し、オペレーターまたは上流のロジックがタイムリーに対応できるようにする必要があります。知覚/計画が契約上、引き継ぎ要求、注意喚起アラート、または診断警告を提供する場合は必須です。別のECUがすべて警告する純粋なバックエンドコンポーネント：安全な統合テストでインターフェースとタイミングを確認します。完全なHMIのユーザビリティは、インタラクション機能で実現できます。</v>
      </c>
      <c r="G119" s="81" t="s">
        <v>2740</v>
      </c>
      <c r="H119" s="38" t="str">
        <f ca="1">IFERROR(__xludf.DUMMYFUNCTION("GOOGLETRANSLATE(H9,""en"",""ja"")"),"#VALUE!")</f>
        <v>#VALUE!</v>
      </c>
      <c r="I119" s="31"/>
      <c r="J119" s="31"/>
      <c r="K119" s="31"/>
      <c r="L119" s="31"/>
      <c r="M119" s="31"/>
      <c r="N119" s="31"/>
      <c r="O119" s="31"/>
      <c r="P119" s="31"/>
      <c r="Q119" s="31"/>
      <c r="R119" s="31"/>
      <c r="S119" s="31"/>
      <c r="T119" s="31"/>
      <c r="U119" s="31"/>
      <c r="V119" s="31"/>
      <c r="W119" s="31"/>
      <c r="X119" s="31"/>
      <c r="Y119" s="31"/>
      <c r="Z119" s="31"/>
    </row>
    <row r="120" spans="1:26" ht="13.5" customHeight="1">
      <c r="A120" s="82" t="s">
        <v>2741</v>
      </c>
      <c r="B120" s="83" t="s">
        <v>2742</v>
      </c>
      <c r="C120" s="83" t="s">
        <v>2743</v>
      </c>
      <c r="D120" s="82" t="s">
        <v>1849</v>
      </c>
      <c r="E120" s="83" t="s">
        <v>2744</v>
      </c>
      <c r="F120" s="84" t="str">
        <f ca="1">IFERROR(__xludf.DUMMYFUNCTION("GOOGLETRANSLATE(F10,""en"",""ja"")"),"1. 他のコンポーネントとの統合中および統合後も、安全性は維持されなければなりません。 認識／計画の問題は、多くの場合、フルスタック構成でのみ発生します（フレームの誤り、IDの引き継ぎ、道路の遅延など）。
2.リリース評価には、モジュール単体のベンチではなく、統合構成を含める必要があります。")</f>
        <v>1. 他のコンポーネントとの統合中および統合後も、安全性は維持されなければなりません。 認識／計画の問題は、多くの場合、フルスタック構成でのみ発生します（フレームの誤り、IDの引き継ぎ、道路の遅延など）。
2.リリース評価には、モジュール単体のベンチではなく、統合構成を含める必要があります。</v>
      </c>
      <c r="G120" s="83" t="s">
        <v>2745</v>
      </c>
      <c r="H120" s="84" t="str">
        <f ca="1">IFERROR(__xludf.DUMMYFUNCTION("GOOGLETRANSLATE(H10,""en"",""ja"")"),"#VALUE!")</f>
        <v>#VALUE!</v>
      </c>
      <c r="I120" s="31"/>
      <c r="J120" s="31"/>
      <c r="K120" s="31"/>
      <c r="L120" s="31"/>
      <c r="M120" s="31"/>
      <c r="N120" s="31"/>
      <c r="O120" s="31"/>
      <c r="P120" s="31"/>
      <c r="Q120" s="31"/>
      <c r="R120" s="31"/>
      <c r="S120" s="31"/>
      <c r="T120" s="31"/>
      <c r="U120" s="31"/>
      <c r="V120" s="31"/>
      <c r="W120" s="31"/>
      <c r="X120" s="31"/>
      <c r="Y120" s="31"/>
      <c r="Z120" s="31"/>
    </row>
    <row r="121" spans="1:26" ht="13.5" customHeight="1">
      <c r="A121" s="85" t="s">
        <v>2746</v>
      </c>
      <c r="B121" s="86" t="s">
        <v>2747</v>
      </c>
      <c r="C121" s="86" t="s">
        <v>1568</v>
      </c>
      <c r="D121" s="85" t="s">
        <v>2641</v>
      </c>
      <c r="E121" s="86" t="s">
        <v>2748</v>
      </c>
      <c r="F121" s="86" t="str">
        <f ca="1">IFERROR(__xludf.DUMMYFUNCTION("GOOGLETRANSLATE(F11,""en"",""ja"")"),"#VALUE!")</f>
        <v>#VALUE!</v>
      </c>
      <c r="G121" s="86" t="s">
        <v>2749</v>
      </c>
      <c r="H121" s="86" t="str">
        <f ca="1">IFERROR(__xludf.DUMMYFUNCTION("GOOGLETRANSLATE(H11,""en"",""ja"")"),"#VALUE!")</f>
        <v>#VALUE!</v>
      </c>
      <c r="I121" s="31"/>
      <c r="J121" s="31"/>
      <c r="K121" s="31"/>
      <c r="L121" s="31"/>
      <c r="M121" s="31"/>
      <c r="N121" s="31"/>
      <c r="O121" s="31"/>
      <c r="P121" s="31"/>
      <c r="Q121" s="31"/>
      <c r="R121" s="31"/>
      <c r="S121" s="31"/>
      <c r="T121" s="31"/>
      <c r="U121" s="31"/>
      <c r="V121" s="31"/>
      <c r="W121" s="31"/>
      <c r="X121" s="31"/>
      <c r="Y121" s="31"/>
      <c r="Z121" s="31"/>
    </row>
    <row r="122" spans="1:26" ht="13.5" customHeight="1">
      <c r="A122" s="80" t="s">
        <v>2709</v>
      </c>
      <c r="B122" s="81" t="s">
        <v>2750</v>
      </c>
      <c r="C122" s="81" t="s">
        <v>2709</v>
      </c>
      <c r="D122" s="80" t="s">
        <v>1849</v>
      </c>
      <c r="E122" s="81" t="s">
        <v>2751</v>
      </c>
      <c r="F122" s="38" t="str">
        <f ca="1">IFERROR(__xludf.DUMMYFUNCTION("GOOGLETRANSLATE(F12,""en"",""ja"")"),"理由")</f>
        <v>理由</v>
      </c>
      <c r="G122" s="81" t="s">
        <v>2752</v>
      </c>
      <c r="H122" s="38" t="str">
        <f ca="1">IFERROR(__xludf.DUMMYFUNCTION("GOOGLETRANSLATE(H12,""en"",""ja"")"),"#VALUE!")</f>
        <v>#VALUE!</v>
      </c>
      <c r="I122" s="31"/>
      <c r="J122" s="31"/>
      <c r="K122" s="31"/>
      <c r="L122" s="31"/>
      <c r="M122" s="31"/>
      <c r="N122" s="31"/>
      <c r="O122" s="31"/>
      <c r="P122" s="31"/>
      <c r="Q122" s="31"/>
      <c r="R122" s="31"/>
      <c r="S122" s="31"/>
      <c r="T122" s="31"/>
      <c r="U122" s="31"/>
      <c r="V122" s="31"/>
      <c r="W122" s="31"/>
      <c r="X122" s="31"/>
      <c r="Y122" s="31"/>
      <c r="Z122" s="31"/>
    </row>
    <row r="123" spans="1:26" ht="13.5" customHeight="1">
      <c r="A123" s="80" t="s">
        <v>2753</v>
      </c>
      <c r="B123" s="81" t="s">
        <v>2754</v>
      </c>
      <c r="C123" s="81" t="s">
        <v>2755</v>
      </c>
      <c r="D123" s="80" t="s">
        <v>1849</v>
      </c>
      <c r="E123" s="81" t="s">
        <v>2756</v>
      </c>
      <c r="F123" s="38" t="str">
        <f ca="1">IFERROR(__xludf.DUMMYFUNCTION("GOOGLETRANSLATE(F13,""en"",""ja"")"),"1. 仕様に基づいたソフトウェア開発に関して、最も基本的な製品品質面は、仕様に準拠していなければなりません。
2. 安全性／セキュリティ品質特性に関しては、安全性／セキュリティ関連機能は完全かつ正確に実装されなければなりません。")</f>
        <v>1. 仕様に基づいたソフトウェア開発に関して、最も基本的な製品品質面は、仕様に準拠していなければなりません。
2. 安全性／セキュリティ品質特性に関しては、安全性／セキュリティ関連機能は完全かつ正確に実装されなければなりません。</v>
      </c>
      <c r="G123" s="81" t="s">
        <v>2757</v>
      </c>
      <c r="H123" s="38" t="str">
        <f ca="1">IFERROR(__xludf.DUMMYFUNCTION("GOOGLETRANSLATE(H13,""en"",""ja"")"),"#VALUE!")</f>
        <v>#VALUE!</v>
      </c>
      <c r="I123" s="31"/>
      <c r="J123" s="31"/>
      <c r="K123" s="31"/>
      <c r="L123" s="31"/>
      <c r="M123" s="31"/>
      <c r="N123" s="31"/>
      <c r="O123" s="31"/>
      <c r="P123" s="31"/>
      <c r="Q123" s="31"/>
      <c r="R123" s="31"/>
      <c r="S123" s="31"/>
      <c r="T123" s="31"/>
      <c r="U123" s="31"/>
      <c r="V123" s="31"/>
      <c r="W123" s="31"/>
      <c r="X123" s="31"/>
      <c r="Y123" s="31"/>
      <c r="Z123" s="31"/>
    </row>
    <row r="124" spans="1:26" ht="13.5" customHeight="1">
      <c r="B124" s="8"/>
      <c r="I124" s="31"/>
      <c r="J124" s="31"/>
      <c r="K124" s="31"/>
      <c r="L124" s="31"/>
      <c r="M124" s="31"/>
      <c r="N124" s="31"/>
      <c r="O124" s="31"/>
      <c r="P124" s="31"/>
      <c r="Q124" s="31"/>
      <c r="R124" s="31"/>
      <c r="S124" s="31"/>
      <c r="T124" s="31"/>
      <c r="U124" s="31"/>
      <c r="V124" s="31"/>
      <c r="W124" s="31"/>
      <c r="X124" s="31"/>
      <c r="Y124" s="31"/>
      <c r="Z124" s="31"/>
    </row>
    <row r="125" spans="1:26" ht="13.5" customHeight="1">
      <c r="B125" s="8"/>
      <c r="I125" s="31"/>
      <c r="J125" s="31"/>
      <c r="K125" s="31"/>
      <c r="L125" s="31"/>
      <c r="M125" s="31"/>
      <c r="N125" s="31"/>
      <c r="O125" s="31"/>
      <c r="P125" s="31"/>
      <c r="Q125" s="31"/>
      <c r="R125" s="31"/>
      <c r="S125" s="31"/>
      <c r="T125" s="31"/>
      <c r="U125" s="31"/>
      <c r="V125" s="31"/>
      <c r="W125" s="31"/>
      <c r="X125" s="31"/>
      <c r="Y125" s="31"/>
      <c r="Z125" s="31"/>
    </row>
    <row r="126" spans="1:26" ht="13.5" customHeight="1">
      <c r="A126" s="31"/>
      <c r="B126" s="31"/>
      <c r="C126" s="44"/>
      <c r="D126" s="31"/>
      <c r="E126" s="30"/>
      <c r="F126" s="31"/>
      <c r="G126" s="31"/>
      <c r="H126" s="31"/>
      <c r="I126" s="31"/>
      <c r="J126" s="31"/>
      <c r="K126" s="31"/>
      <c r="L126" s="31"/>
      <c r="M126" s="31"/>
      <c r="N126" s="31"/>
      <c r="O126" s="31"/>
      <c r="P126" s="31"/>
      <c r="Q126" s="31"/>
      <c r="R126" s="31"/>
      <c r="S126" s="31"/>
      <c r="T126" s="31"/>
      <c r="U126" s="31"/>
      <c r="V126" s="31"/>
      <c r="W126" s="31"/>
      <c r="X126" s="31"/>
      <c r="Y126" s="31"/>
      <c r="Z126" s="31"/>
    </row>
    <row r="127" spans="1:26" ht="13.5" customHeight="1">
      <c r="A127" s="31"/>
      <c r="B127" s="31"/>
      <c r="C127" s="44"/>
      <c r="D127" s="31"/>
      <c r="E127" s="30"/>
      <c r="F127" s="31"/>
      <c r="G127" s="31"/>
      <c r="H127" s="31"/>
      <c r="I127" s="31"/>
      <c r="J127" s="31"/>
      <c r="K127" s="31"/>
      <c r="L127" s="31"/>
      <c r="M127" s="31"/>
      <c r="N127" s="31"/>
      <c r="O127" s="31"/>
      <c r="P127" s="31"/>
      <c r="Q127" s="31"/>
      <c r="R127" s="31"/>
      <c r="S127" s="31"/>
      <c r="T127" s="31"/>
      <c r="U127" s="31"/>
      <c r="V127" s="31"/>
      <c r="W127" s="31"/>
      <c r="X127" s="31"/>
      <c r="Y127" s="31"/>
      <c r="Z127" s="31"/>
    </row>
    <row r="128" spans="1:26" ht="13.5" customHeight="1">
      <c r="A128" s="31"/>
      <c r="B128" s="31"/>
      <c r="C128" s="44"/>
      <c r="D128" s="31"/>
      <c r="E128" s="30"/>
      <c r="F128" s="31"/>
      <c r="G128" s="31"/>
      <c r="H128" s="31"/>
      <c r="I128" s="31"/>
      <c r="J128" s="31"/>
      <c r="K128" s="31"/>
      <c r="L128" s="31"/>
      <c r="M128" s="31"/>
      <c r="N128" s="31"/>
      <c r="O128" s="31"/>
      <c r="P128" s="31"/>
      <c r="Q128" s="31"/>
      <c r="R128" s="31"/>
      <c r="S128" s="31"/>
      <c r="T128" s="31"/>
      <c r="U128" s="31"/>
      <c r="V128" s="31"/>
      <c r="W128" s="31"/>
      <c r="X128" s="31"/>
      <c r="Y128" s="31"/>
      <c r="Z128" s="31"/>
    </row>
    <row r="129" spans="1:26" ht="13.5" customHeight="1">
      <c r="A129" s="31"/>
      <c r="B129" s="31"/>
      <c r="C129" s="44"/>
      <c r="D129" s="31"/>
      <c r="E129" s="30"/>
      <c r="F129" s="31"/>
      <c r="G129" s="31"/>
      <c r="H129" s="31"/>
      <c r="I129" s="31"/>
      <c r="J129" s="31"/>
      <c r="K129" s="31"/>
      <c r="L129" s="31"/>
      <c r="M129" s="31"/>
      <c r="N129" s="31"/>
      <c r="O129" s="31"/>
      <c r="P129" s="31"/>
      <c r="Q129" s="31"/>
      <c r="R129" s="31"/>
      <c r="S129" s="31"/>
      <c r="T129" s="31"/>
      <c r="U129" s="31"/>
      <c r="V129" s="31"/>
      <c r="W129" s="31"/>
      <c r="X129" s="31"/>
      <c r="Y129" s="31"/>
      <c r="Z129" s="31"/>
    </row>
    <row r="130" spans="1:26" ht="13.5" customHeight="1">
      <c r="A130" s="31"/>
      <c r="B130" s="31"/>
      <c r="C130" s="44"/>
      <c r="D130" s="31"/>
      <c r="E130" s="30"/>
      <c r="F130" s="31"/>
      <c r="G130" s="31"/>
      <c r="H130" s="31"/>
      <c r="I130" s="31"/>
      <c r="J130" s="31"/>
      <c r="K130" s="31"/>
      <c r="L130" s="31"/>
      <c r="M130" s="31"/>
      <c r="N130" s="31"/>
      <c r="O130" s="31"/>
      <c r="P130" s="31"/>
      <c r="Q130" s="31"/>
      <c r="R130" s="31"/>
      <c r="S130" s="31"/>
      <c r="T130" s="31"/>
      <c r="U130" s="31"/>
      <c r="V130" s="31"/>
      <c r="W130" s="31"/>
      <c r="X130" s="31"/>
      <c r="Y130" s="31"/>
      <c r="Z130" s="31"/>
    </row>
    <row r="131" spans="1:26" ht="13.5" customHeight="1">
      <c r="A131" s="31"/>
      <c r="B131" s="31"/>
      <c r="C131" s="44"/>
      <c r="D131" s="31"/>
      <c r="E131" s="30"/>
      <c r="F131" s="31"/>
      <c r="G131" s="31"/>
      <c r="H131" s="31"/>
      <c r="I131" s="31"/>
      <c r="J131" s="31"/>
      <c r="K131" s="31"/>
      <c r="L131" s="31"/>
      <c r="M131" s="31"/>
      <c r="N131" s="31"/>
      <c r="O131" s="31"/>
      <c r="P131" s="31"/>
      <c r="Q131" s="31"/>
      <c r="R131" s="31"/>
      <c r="S131" s="31"/>
      <c r="T131" s="31"/>
      <c r="U131" s="31"/>
      <c r="V131" s="31"/>
      <c r="W131" s="31"/>
      <c r="X131" s="31"/>
      <c r="Y131" s="31"/>
      <c r="Z131" s="31"/>
    </row>
    <row r="132" spans="1:26" ht="13.5" customHeight="1">
      <c r="A132" s="31"/>
      <c r="B132" s="31"/>
      <c r="C132" s="44"/>
      <c r="D132" s="31"/>
      <c r="E132" s="30"/>
      <c r="F132" s="31"/>
      <c r="G132" s="31"/>
      <c r="H132" s="31"/>
      <c r="I132" s="31"/>
      <c r="J132" s="31"/>
      <c r="K132" s="31"/>
      <c r="L132" s="31"/>
      <c r="M132" s="31"/>
      <c r="N132" s="31"/>
      <c r="O132" s="31"/>
      <c r="P132" s="31"/>
      <c r="Q132" s="31"/>
      <c r="R132" s="31"/>
      <c r="S132" s="31"/>
      <c r="T132" s="31"/>
      <c r="U132" s="31"/>
      <c r="V132" s="31"/>
      <c r="W132" s="31"/>
      <c r="X132" s="31"/>
      <c r="Y132" s="31"/>
      <c r="Z132" s="31"/>
    </row>
    <row r="133" spans="1:26" ht="13.5" customHeight="1">
      <c r="A133" s="31"/>
      <c r="B133" s="31"/>
      <c r="C133" s="44"/>
      <c r="D133" s="31"/>
      <c r="E133" s="30"/>
      <c r="F133" s="31"/>
      <c r="G133" s="31"/>
      <c r="H133" s="31"/>
      <c r="I133" s="31"/>
      <c r="J133" s="31"/>
      <c r="K133" s="31"/>
      <c r="L133" s="31"/>
      <c r="M133" s="31"/>
      <c r="N133" s="31"/>
      <c r="O133" s="31"/>
      <c r="P133" s="31"/>
      <c r="Q133" s="31"/>
      <c r="R133" s="31"/>
      <c r="S133" s="31"/>
      <c r="T133" s="31"/>
      <c r="U133" s="31"/>
      <c r="V133" s="31"/>
      <c r="W133" s="31"/>
      <c r="X133" s="31"/>
      <c r="Y133" s="31"/>
      <c r="Z133" s="31"/>
    </row>
    <row r="134" spans="1:26" ht="13.5" customHeight="1">
      <c r="A134" s="31"/>
      <c r="B134" s="31"/>
      <c r="C134" s="44"/>
      <c r="D134" s="31"/>
      <c r="E134" s="30"/>
      <c r="F134" s="31"/>
      <c r="G134" s="31"/>
      <c r="H134" s="31"/>
      <c r="I134" s="31"/>
      <c r="J134" s="31"/>
      <c r="K134" s="31"/>
      <c r="L134" s="31"/>
      <c r="M134" s="31"/>
      <c r="N134" s="31"/>
      <c r="O134" s="31"/>
      <c r="P134" s="31"/>
      <c r="Q134" s="31"/>
      <c r="R134" s="31"/>
      <c r="S134" s="31"/>
      <c r="T134" s="31"/>
      <c r="U134" s="31"/>
      <c r="V134" s="31"/>
      <c r="W134" s="31"/>
      <c r="X134" s="31"/>
      <c r="Y134" s="31"/>
      <c r="Z134" s="31"/>
    </row>
    <row r="135" spans="1:26" ht="13.5" customHeight="1">
      <c r="A135" s="31"/>
      <c r="B135" s="31"/>
      <c r="C135" s="44"/>
      <c r="D135" s="31"/>
      <c r="E135" s="30"/>
      <c r="F135" s="31"/>
      <c r="G135" s="31"/>
      <c r="H135" s="31"/>
      <c r="I135" s="31"/>
      <c r="J135" s="31"/>
      <c r="K135" s="31"/>
      <c r="L135" s="31"/>
      <c r="M135" s="31"/>
      <c r="N135" s="31"/>
      <c r="O135" s="31"/>
      <c r="P135" s="31"/>
      <c r="Q135" s="31"/>
      <c r="R135" s="31"/>
      <c r="S135" s="31"/>
      <c r="T135" s="31"/>
      <c r="U135" s="31"/>
      <c r="V135" s="31"/>
      <c r="W135" s="31"/>
      <c r="X135" s="31"/>
      <c r="Y135" s="31"/>
      <c r="Z135" s="31"/>
    </row>
    <row r="136" spans="1:26" ht="13.5" customHeight="1">
      <c r="A136" s="31"/>
      <c r="B136" s="31"/>
      <c r="C136" s="44"/>
      <c r="D136" s="31"/>
      <c r="E136" s="30"/>
      <c r="F136" s="31"/>
      <c r="G136" s="31"/>
      <c r="H136" s="31"/>
      <c r="I136" s="31"/>
      <c r="J136" s="31"/>
      <c r="K136" s="31"/>
      <c r="L136" s="31"/>
      <c r="M136" s="31"/>
      <c r="N136" s="31"/>
      <c r="O136" s="31"/>
      <c r="P136" s="31"/>
      <c r="Q136" s="31"/>
      <c r="R136" s="31"/>
      <c r="S136" s="31"/>
      <c r="T136" s="31"/>
      <c r="U136" s="31"/>
      <c r="V136" s="31"/>
      <c r="W136" s="31"/>
      <c r="X136" s="31"/>
      <c r="Y136" s="31"/>
      <c r="Z136" s="31"/>
    </row>
    <row r="137" spans="1:26" ht="13.5" customHeight="1">
      <c r="A137" s="31"/>
      <c r="B137" s="31"/>
      <c r="C137" s="44"/>
      <c r="D137" s="31"/>
      <c r="E137" s="30"/>
      <c r="F137" s="31"/>
      <c r="G137" s="31"/>
      <c r="H137" s="31"/>
      <c r="I137" s="31"/>
      <c r="J137" s="31"/>
      <c r="K137" s="31"/>
      <c r="L137" s="31"/>
      <c r="M137" s="31"/>
      <c r="N137" s="31"/>
      <c r="O137" s="31"/>
      <c r="P137" s="31"/>
      <c r="Q137" s="31"/>
      <c r="R137" s="31"/>
      <c r="S137" s="31"/>
      <c r="T137" s="31"/>
      <c r="U137" s="31"/>
      <c r="V137" s="31"/>
      <c r="W137" s="31"/>
      <c r="X137" s="31"/>
      <c r="Y137" s="31"/>
      <c r="Z137" s="31"/>
    </row>
    <row r="138" spans="1:26" ht="13.5" customHeight="1">
      <c r="A138" s="31"/>
      <c r="B138" s="31"/>
      <c r="C138" s="44"/>
      <c r="D138" s="31"/>
      <c r="E138" s="30"/>
      <c r="F138" s="31"/>
      <c r="G138" s="31"/>
      <c r="H138" s="31"/>
      <c r="I138" s="31"/>
      <c r="J138" s="31"/>
      <c r="K138" s="31"/>
      <c r="L138" s="31"/>
      <c r="M138" s="31"/>
      <c r="N138" s="31"/>
      <c r="O138" s="31"/>
      <c r="P138" s="31"/>
      <c r="Q138" s="31"/>
      <c r="R138" s="31"/>
      <c r="S138" s="31"/>
      <c r="T138" s="31"/>
      <c r="U138" s="31"/>
      <c r="V138" s="31"/>
      <c r="W138" s="31"/>
      <c r="X138" s="31"/>
      <c r="Y138" s="31"/>
      <c r="Z138" s="31"/>
    </row>
    <row r="139" spans="1:26" ht="13.5" customHeight="1">
      <c r="A139" s="31"/>
      <c r="B139" s="31"/>
      <c r="C139" s="44"/>
      <c r="D139" s="31"/>
      <c r="E139" s="30"/>
      <c r="F139" s="31"/>
      <c r="G139" s="31"/>
      <c r="H139" s="31"/>
      <c r="I139" s="31"/>
      <c r="J139" s="31"/>
      <c r="K139" s="31"/>
      <c r="L139" s="31"/>
      <c r="M139" s="31"/>
      <c r="N139" s="31"/>
      <c r="O139" s="31"/>
      <c r="P139" s="31"/>
      <c r="Q139" s="31"/>
      <c r="R139" s="31"/>
      <c r="S139" s="31"/>
      <c r="T139" s="31"/>
      <c r="U139" s="31"/>
      <c r="V139" s="31"/>
      <c r="W139" s="31"/>
      <c r="X139" s="31"/>
      <c r="Y139" s="31"/>
      <c r="Z139" s="31"/>
    </row>
    <row r="140" spans="1:26" ht="13.5" customHeight="1">
      <c r="A140" s="31"/>
      <c r="B140" s="31"/>
      <c r="C140" s="44"/>
      <c r="D140" s="31"/>
      <c r="E140" s="30"/>
      <c r="F140" s="31"/>
      <c r="G140" s="31"/>
      <c r="H140" s="31"/>
      <c r="I140" s="31"/>
      <c r="J140" s="31"/>
      <c r="K140" s="31"/>
      <c r="L140" s="31"/>
      <c r="M140" s="31"/>
      <c r="N140" s="31"/>
      <c r="O140" s="31"/>
      <c r="P140" s="31"/>
      <c r="Q140" s="31"/>
      <c r="R140" s="31"/>
      <c r="S140" s="31"/>
      <c r="T140" s="31"/>
      <c r="U140" s="31"/>
      <c r="V140" s="31"/>
      <c r="W140" s="31"/>
      <c r="X140" s="31"/>
      <c r="Y140" s="31"/>
      <c r="Z140" s="31"/>
    </row>
    <row r="141" spans="1:26" ht="13.5" customHeight="1">
      <c r="A141" s="31"/>
      <c r="B141" s="31"/>
      <c r="C141" s="44"/>
      <c r="D141" s="31"/>
      <c r="E141" s="30"/>
      <c r="F141" s="31"/>
      <c r="G141" s="31"/>
      <c r="H141" s="31"/>
      <c r="I141" s="31"/>
      <c r="J141" s="31"/>
      <c r="K141" s="31"/>
      <c r="L141" s="31"/>
      <c r="M141" s="31"/>
      <c r="N141" s="31"/>
      <c r="O141" s="31"/>
      <c r="P141" s="31"/>
      <c r="Q141" s="31"/>
      <c r="R141" s="31"/>
      <c r="S141" s="31"/>
      <c r="T141" s="31"/>
      <c r="U141" s="31"/>
      <c r="V141" s="31"/>
      <c r="W141" s="31"/>
      <c r="X141" s="31"/>
      <c r="Y141" s="31"/>
      <c r="Z141" s="31"/>
    </row>
    <row r="142" spans="1:26" ht="13.5" customHeight="1">
      <c r="A142" s="31"/>
      <c r="B142" s="31"/>
      <c r="C142" s="44"/>
      <c r="D142" s="31"/>
      <c r="E142" s="30"/>
      <c r="F142" s="31"/>
      <c r="G142" s="31"/>
      <c r="H142" s="31"/>
      <c r="I142" s="31"/>
      <c r="J142" s="31"/>
      <c r="K142" s="31"/>
      <c r="L142" s="31"/>
      <c r="M142" s="31"/>
      <c r="N142" s="31"/>
      <c r="O142" s="31"/>
      <c r="P142" s="31"/>
      <c r="Q142" s="31"/>
      <c r="R142" s="31"/>
      <c r="S142" s="31"/>
      <c r="T142" s="31"/>
      <c r="U142" s="31"/>
      <c r="V142" s="31"/>
      <c r="W142" s="31"/>
      <c r="X142" s="31"/>
      <c r="Y142" s="31"/>
      <c r="Z142" s="31"/>
    </row>
    <row r="143" spans="1:26" ht="13.5" customHeight="1">
      <c r="A143" s="31"/>
      <c r="B143" s="31"/>
      <c r="C143" s="44"/>
      <c r="D143" s="31"/>
      <c r="E143" s="30"/>
      <c r="F143" s="31"/>
      <c r="G143" s="31"/>
      <c r="H143" s="31"/>
      <c r="I143" s="31"/>
      <c r="J143" s="31"/>
      <c r="K143" s="31"/>
      <c r="L143" s="31"/>
      <c r="M143" s="31"/>
      <c r="N143" s="31"/>
      <c r="O143" s="31"/>
      <c r="P143" s="31"/>
      <c r="Q143" s="31"/>
      <c r="R143" s="31"/>
      <c r="S143" s="31"/>
      <c r="T143" s="31"/>
      <c r="U143" s="31"/>
      <c r="V143" s="31"/>
      <c r="W143" s="31"/>
      <c r="X143" s="31"/>
      <c r="Y143" s="31"/>
      <c r="Z143" s="31"/>
    </row>
    <row r="144" spans="1:26" ht="13.5" customHeight="1">
      <c r="A144" s="31"/>
      <c r="B144" s="31"/>
      <c r="C144" s="44"/>
      <c r="D144" s="31"/>
      <c r="E144" s="30"/>
      <c r="F144" s="31"/>
      <c r="G144" s="31"/>
      <c r="H144" s="31"/>
      <c r="I144" s="31"/>
      <c r="J144" s="31"/>
      <c r="K144" s="31"/>
      <c r="L144" s="31"/>
      <c r="M144" s="31"/>
      <c r="N144" s="31"/>
      <c r="O144" s="31"/>
      <c r="P144" s="31"/>
      <c r="Q144" s="31"/>
      <c r="R144" s="31"/>
      <c r="S144" s="31"/>
      <c r="T144" s="31"/>
      <c r="U144" s="31"/>
      <c r="V144" s="31"/>
      <c r="W144" s="31"/>
      <c r="X144" s="31"/>
      <c r="Y144" s="31"/>
      <c r="Z144" s="31"/>
    </row>
    <row r="145" spans="1:26" ht="13.5" customHeight="1">
      <c r="A145" s="31"/>
      <c r="B145" s="31"/>
      <c r="C145" s="44"/>
      <c r="D145" s="31"/>
      <c r="E145" s="30"/>
      <c r="F145" s="31"/>
      <c r="G145" s="31"/>
      <c r="H145" s="31"/>
      <c r="I145" s="31"/>
      <c r="J145" s="31"/>
      <c r="K145" s="31"/>
      <c r="L145" s="31"/>
      <c r="M145" s="31"/>
      <c r="N145" s="31"/>
      <c r="O145" s="31"/>
      <c r="P145" s="31"/>
      <c r="Q145" s="31"/>
      <c r="R145" s="31"/>
      <c r="S145" s="31"/>
      <c r="T145" s="31"/>
      <c r="U145" s="31"/>
      <c r="V145" s="31"/>
      <c r="W145" s="31"/>
      <c r="X145" s="31"/>
      <c r="Y145" s="31"/>
      <c r="Z145" s="31"/>
    </row>
    <row r="146" spans="1:26" ht="13.5" customHeight="1">
      <c r="A146" s="31"/>
      <c r="B146" s="31"/>
      <c r="C146" s="44"/>
      <c r="D146" s="31"/>
      <c r="E146" s="30"/>
      <c r="F146" s="31"/>
      <c r="G146" s="31"/>
      <c r="H146" s="31"/>
      <c r="I146" s="31"/>
      <c r="J146" s="31"/>
      <c r="K146" s="31"/>
      <c r="L146" s="31"/>
      <c r="M146" s="31"/>
      <c r="N146" s="31"/>
      <c r="O146" s="31"/>
      <c r="P146" s="31"/>
      <c r="Q146" s="31"/>
      <c r="R146" s="31"/>
      <c r="S146" s="31"/>
      <c r="T146" s="31"/>
      <c r="U146" s="31"/>
      <c r="V146" s="31"/>
      <c r="W146" s="31"/>
      <c r="X146" s="31"/>
      <c r="Y146" s="31"/>
      <c r="Z146" s="31"/>
    </row>
    <row r="147" spans="1:26" ht="13.5" customHeight="1">
      <c r="A147" s="31"/>
      <c r="B147" s="31"/>
      <c r="C147" s="44"/>
      <c r="D147" s="31"/>
      <c r="E147" s="30"/>
      <c r="F147" s="31"/>
      <c r="G147" s="31"/>
      <c r="H147" s="31"/>
      <c r="I147" s="31"/>
      <c r="J147" s="31"/>
      <c r="K147" s="31"/>
      <c r="L147" s="31"/>
      <c r="M147" s="31"/>
      <c r="N147" s="31"/>
      <c r="O147" s="31"/>
      <c r="P147" s="31"/>
      <c r="Q147" s="31"/>
      <c r="R147" s="31"/>
      <c r="S147" s="31"/>
      <c r="T147" s="31"/>
      <c r="U147" s="31"/>
      <c r="V147" s="31"/>
      <c r="W147" s="31"/>
      <c r="X147" s="31"/>
      <c r="Y147" s="31"/>
      <c r="Z147" s="31"/>
    </row>
    <row r="148" spans="1:26" ht="13.5" customHeight="1">
      <c r="A148" s="31"/>
      <c r="B148" s="31"/>
      <c r="C148" s="44"/>
      <c r="D148" s="31"/>
      <c r="E148" s="30"/>
      <c r="F148" s="31"/>
      <c r="G148" s="31"/>
      <c r="H148" s="31"/>
      <c r="I148" s="31"/>
      <c r="J148" s="31"/>
      <c r="K148" s="31"/>
      <c r="L148" s="31"/>
      <c r="M148" s="31"/>
      <c r="N148" s="31"/>
      <c r="O148" s="31"/>
      <c r="P148" s="31"/>
      <c r="Q148" s="31"/>
      <c r="R148" s="31"/>
      <c r="S148" s="31"/>
      <c r="T148" s="31"/>
      <c r="U148" s="31"/>
      <c r="V148" s="31"/>
      <c r="W148" s="31"/>
      <c r="X148" s="31"/>
      <c r="Y148" s="31"/>
      <c r="Z148" s="31"/>
    </row>
    <row r="149" spans="1:26" ht="13.5" customHeight="1">
      <c r="A149" s="31"/>
      <c r="B149" s="31"/>
      <c r="C149" s="44"/>
      <c r="D149" s="31"/>
      <c r="E149" s="30"/>
      <c r="F149" s="31"/>
      <c r="G149" s="31"/>
      <c r="H149" s="31"/>
      <c r="I149" s="31"/>
      <c r="J149" s="31"/>
      <c r="K149" s="31"/>
      <c r="L149" s="31"/>
      <c r="M149" s="31"/>
      <c r="N149" s="31"/>
      <c r="O149" s="31"/>
      <c r="P149" s="31"/>
      <c r="Q149" s="31"/>
      <c r="R149" s="31"/>
      <c r="S149" s="31"/>
      <c r="T149" s="31"/>
      <c r="U149" s="31"/>
      <c r="V149" s="31"/>
      <c r="W149" s="31"/>
      <c r="X149" s="31"/>
      <c r="Y149" s="31"/>
      <c r="Z149" s="31"/>
    </row>
    <row r="150" spans="1:26" ht="13.5" customHeight="1">
      <c r="A150" s="31"/>
      <c r="B150" s="31"/>
      <c r="C150" s="44"/>
      <c r="D150" s="31"/>
      <c r="E150" s="30"/>
      <c r="F150" s="31"/>
      <c r="G150" s="31"/>
      <c r="H150" s="31"/>
      <c r="I150" s="31"/>
      <c r="J150" s="31"/>
      <c r="K150" s="31"/>
      <c r="L150" s="31"/>
      <c r="M150" s="31"/>
      <c r="N150" s="31"/>
      <c r="O150" s="31"/>
      <c r="P150" s="31"/>
      <c r="Q150" s="31"/>
      <c r="R150" s="31"/>
      <c r="S150" s="31"/>
      <c r="T150" s="31"/>
      <c r="U150" s="31"/>
      <c r="V150" s="31"/>
      <c r="W150" s="31"/>
      <c r="X150" s="31"/>
      <c r="Y150" s="31"/>
      <c r="Z150" s="31"/>
    </row>
    <row r="151" spans="1:26" ht="13.5" customHeight="1">
      <c r="A151" s="31"/>
      <c r="B151" s="31"/>
      <c r="C151" s="44"/>
      <c r="D151" s="31"/>
      <c r="E151" s="30"/>
      <c r="F151" s="31"/>
      <c r="G151" s="31"/>
      <c r="H151" s="31"/>
      <c r="I151" s="31"/>
      <c r="J151" s="31"/>
      <c r="K151" s="31"/>
      <c r="L151" s="31"/>
      <c r="M151" s="31"/>
      <c r="N151" s="31"/>
      <c r="O151" s="31"/>
      <c r="P151" s="31"/>
      <c r="Q151" s="31"/>
      <c r="R151" s="31"/>
      <c r="S151" s="31"/>
      <c r="T151" s="31"/>
      <c r="U151" s="31"/>
      <c r="V151" s="31"/>
      <c r="W151" s="31"/>
      <c r="X151" s="31"/>
      <c r="Y151" s="31"/>
      <c r="Z151" s="31"/>
    </row>
    <row r="152" spans="1:26" ht="13.5" customHeight="1">
      <c r="A152" s="31"/>
      <c r="B152" s="31"/>
      <c r="C152" s="44"/>
      <c r="D152" s="31"/>
      <c r="E152" s="30"/>
      <c r="F152" s="31"/>
      <c r="G152" s="31"/>
      <c r="H152" s="31"/>
      <c r="I152" s="31"/>
      <c r="J152" s="31"/>
      <c r="K152" s="31"/>
      <c r="L152" s="31"/>
      <c r="M152" s="31"/>
      <c r="N152" s="31"/>
      <c r="O152" s="31"/>
      <c r="P152" s="31"/>
      <c r="Q152" s="31"/>
      <c r="R152" s="31"/>
      <c r="S152" s="31"/>
      <c r="T152" s="31"/>
      <c r="U152" s="31"/>
      <c r="V152" s="31"/>
      <c r="W152" s="31"/>
      <c r="X152" s="31"/>
      <c r="Y152" s="31"/>
      <c r="Z152" s="31"/>
    </row>
    <row r="153" spans="1:26" ht="13.5" customHeight="1">
      <c r="A153" s="31"/>
      <c r="B153" s="31"/>
      <c r="C153" s="44"/>
      <c r="D153" s="31"/>
      <c r="E153" s="30"/>
      <c r="F153" s="31"/>
      <c r="G153" s="31"/>
      <c r="H153" s="31"/>
      <c r="I153" s="31"/>
      <c r="J153" s="31"/>
      <c r="K153" s="31"/>
      <c r="L153" s="31"/>
      <c r="M153" s="31"/>
      <c r="N153" s="31"/>
      <c r="O153" s="31"/>
      <c r="P153" s="31"/>
      <c r="Q153" s="31"/>
      <c r="R153" s="31"/>
      <c r="S153" s="31"/>
      <c r="T153" s="31"/>
      <c r="U153" s="31"/>
      <c r="V153" s="31"/>
      <c r="W153" s="31"/>
      <c r="X153" s="31"/>
      <c r="Y153" s="31"/>
      <c r="Z153" s="31"/>
    </row>
    <row r="154" spans="1:26" ht="13.5" customHeight="1">
      <c r="A154" s="31"/>
      <c r="B154" s="31"/>
      <c r="C154" s="44"/>
      <c r="D154" s="31"/>
      <c r="E154" s="30"/>
      <c r="F154" s="31"/>
      <c r="G154" s="31"/>
      <c r="H154" s="31"/>
      <c r="I154" s="31"/>
      <c r="J154" s="31"/>
      <c r="K154" s="31"/>
      <c r="L154" s="31"/>
      <c r="M154" s="31"/>
      <c r="N154" s="31"/>
      <c r="O154" s="31"/>
      <c r="P154" s="31"/>
      <c r="Q154" s="31"/>
      <c r="R154" s="31"/>
      <c r="S154" s="31"/>
      <c r="T154" s="31"/>
      <c r="U154" s="31"/>
      <c r="V154" s="31"/>
      <c r="W154" s="31"/>
      <c r="X154" s="31"/>
      <c r="Y154" s="31"/>
      <c r="Z154" s="31"/>
    </row>
    <row r="155" spans="1:26" ht="13.5" customHeight="1">
      <c r="A155" s="31"/>
      <c r="B155" s="31"/>
      <c r="C155" s="44"/>
      <c r="D155" s="31"/>
      <c r="E155" s="30"/>
      <c r="F155" s="31"/>
      <c r="G155" s="31"/>
      <c r="H155" s="31"/>
      <c r="I155" s="31"/>
      <c r="J155" s="31"/>
      <c r="K155" s="31"/>
      <c r="L155" s="31"/>
      <c r="M155" s="31"/>
      <c r="N155" s="31"/>
      <c r="O155" s="31"/>
      <c r="P155" s="31"/>
      <c r="Q155" s="31"/>
      <c r="R155" s="31"/>
      <c r="S155" s="31"/>
      <c r="T155" s="31"/>
      <c r="U155" s="31"/>
      <c r="V155" s="31"/>
      <c r="W155" s="31"/>
      <c r="X155" s="31"/>
      <c r="Y155" s="31"/>
      <c r="Z155" s="31"/>
    </row>
    <row r="156" spans="1:26" ht="13.5" customHeight="1">
      <c r="A156" s="31"/>
      <c r="B156" s="31"/>
      <c r="C156" s="44"/>
      <c r="D156" s="31"/>
      <c r="E156" s="30"/>
      <c r="F156" s="31"/>
      <c r="G156" s="31"/>
      <c r="H156" s="31"/>
      <c r="I156" s="31"/>
      <c r="J156" s="31"/>
      <c r="K156" s="31"/>
      <c r="L156" s="31"/>
      <c r="M156" s="31"/>
      <c r="N156" s="31"/>
      <c r="O156" s="31"/>
      <c r="P156" s="31"/>
      <c r="Q156" s="31"/>
      <c r="R156" s="31"/>
      <c r="S156" s="31"/>
      <c r="T156" s="31"/>
      <c r="U156" s="31"/>
      <c r="V156" s="31"/>
      <c r="W156" s="31"/>
      <c r="X156" s="31"/>
      <c r="Y156" s="31"/>
      <c r="Z156" s="31"/>
    </row>
    <row r="157" spans="1:26" ht="13.5" customHeight="1">
      <c r="A157" s="31"/>
      <c r="B157" s="31"/>
      <c r="C157" s="44"/>
      <c r="D157" s="31"/>
      <c r="E157" s="30"/>
      <c r="F157" s="31"/>
      <c r="G157" s="31"/>
      <c r="H157" s="31"/>
      <c r="I157" s="31"/>
      <c r="J157" s="31"/>
      <c r="K157" s="31"/>
      <c r="L157" s="31"/>
      <c r="M157" s="31"/>
      <c r="N157" s="31"/>
      <c r="O157" s="31"/>
      <c r="P157" s="31"/>
      <c r="Q157" s="31"/>
      <c r="R157" s="31"/>
      <c r="S157" s="31"/>
      <c r="T157" s="31"/>
      <c r="U157" s="31"/>
      <c r="V157" s="31"/>
      <c r="W157" s="31"/>
      <c r="X157" s="31"/>
      <c r="Y157" s="31"/>
      <c r="Z157" s="31"/>
    </row>
    <row r="158" spans="1:26" ht="13.5" customHeight="1">
      <c r="A158" s="31"/>
      <c r="B158" s="31"/>
      <c r="C158" s="44"/>
      <c r="D158" s="31"/>
      <c r="E158" s="30"/>
      <c r="F158" s="31"/>
      <c r="G158" s="31"/>
      <c r="H158" s="31"/>
      <c r="I158" s="31"/>
      <c r="J158" s="31"/>
      <c r="K158" s="31"/>
      <c r="L158" s="31"/>
      <c r="M158" s="31"/>
      <c r="N158" s="31"/>
      <c r="O158" s="31"/>
      <c r="P158" s="31"/>
      <c r="Q158" s="31"/>
      <c r="R158" s="31"/>
      <c r="S158" s="31"/>
      <c r="T158" s="31"/>
      <c r="U158" s="31"/>
      <c r="V158" s="31"/>
      <c r="W158" s="31"/>
      <c r="X158" s="31"/>
      <c r="Y158" s="31"/>
      <c r="Z158" s="31"/>
    </row>
    <row r="159" spans="1:26" ht="13.5" customHeight="1">
      <c r="A159" s="31"/>
      <c r="B159" s="31"/>
      <c r="C159" s="44"/>
      <c r="D159" s="31"/>
      <c r="E159" s="30"/>
      <c r="F159" s="31"/>
      <c r="G159" s="31"/>
      <c r="H159" s="31"/>
      <c r="I159" s="31"/>
      <c r="J159" s="31"/>
      <c r="K159" s="31"/>
      <c r="L159" s="31"/>
      <c r="M159" s="31"/>
      <c r="N159" s="31"/>
      <c r="O159" s="31"/>
      <c r="P159" s="31"/>
      <c r="Q159" s="31"/>
      <c r="R159" s="31"/>
      <c r="S159" s="31"/>
      <c r="T159" s="31"/>
      <c r="U159" s="31"/>
      <c r="V159" s="31"/>
      <c r="W159" s="31"/>
      <c r="X159" s="31"/>
      <c r="Y159" s="31"/>
      <c r="Z159" s="31"/>
    </row>
    <row r="160" spans="1:26" ht="13.5" customHeight="1">
      <c r="A160" s="31"/>
      <c r="B160" s="31"/>
      <c r="C160" s="44"/>
      <c r="D160" s="31"/>
      <c r="E160" s="30"/>
      <c r="F160" s="31"/>
      <c r="G160" s="31"/>
      <c r="H160" s="31"/>
      <c r="I160" s="31"/>
      <c r="J160" s="31"/>
      <c r="K160" s="31"/>
      <c r="L160" s="31"/>
      <c r="M160" s="31"/>
      <c r="N160" s="31"/>
      <c r="O160" s="31"/>
      <c r="P160" s="31"/>
      <c r="Q160" s="31"/>
      <c r="R160" s="31"/>
      <c r="S160" s="31"/>
      <c r="T160" s="31"/>
      <c r="U160" s="31"/>
      <c r="V160" s="31"/>
      <c r="W160" s="31"/>
      <c r="X160" s="31"/>
      <c r="Y160" s="31"/>
      <c r="Z160" s="31"/>
    </row>
    <row r="161" spans="1:26" ht="13.5" customHeight="1">
      <c r="A161" s="31"/>
      <c r="B161" s="31"/>
      <c r="C161" s="44"/>
      <c r="D161" s="31"/>
      <c r="E161" s="30"/>
      <c r="F161" s="31"/>
      <c r="G161" s="31"/>
      <c r="H161" s="31"/>
      <c r="I161" s="31"/>
      <c r="J161" s="31"/>
      <c r="K161" s="31"/>
      <c r="L161" s="31"/>
      <c r="M161" s="31"/>
      <c r="N161" s="31"/>
      <c r="O161" s="31"/>
      <c r="P161" s="31"/>
      <c r="Q161" s="31"/>
      <c r="R161" s="31"/>
      <c r="S161" s="31"/>
      <c r="T161" s="31"/>
      <c r="U161" s="31"/>
      <c r="V161" s="31"/>
      <c r="W161" s="31"/>
      <c r="X161" s="31"/>
      <c r="Y161" s="31"/>
      <c r="Z161" s="31"/>
    </row>
    <row r="162" spans="1:26" ht="13.5" customHeight="1">
      <c r="A162" s="31"/>
      <c r="B162" s="31"/>
      <c r="C162" s="44"/>
      <c r="D162" s="31"/>
      <c r="E162" s="30"/>
      <c r="F162" s="31"/>
      <c r="G162" s="31"/>
      <c r="H162" s="31"/>
      <c r="I162" s="31"/>
      <c r="J162" s="31"/>
      <c r="K162" s="31"/>
      <c r="L162" s="31"/>
      <c r="M162" s="31"/>
      <c r="N162" s="31"/>
      <c r="O162" s="31"/>
      <c r="P162" s="31"/>
      <c r="Q162" s="31"/>
      <c r="R162" s="31"/>
      <c r="S162" s="31"/>
      <c r="T162" s="31"/>
      <c r="U162" s="31"/>
      <c r="V162" s="31"/>
      <c r="W162" s="31"/>
      <c r="X162" s="31"/>
      <c r="Y162" s="31"/>
      <c r="Z162" s="31"/>
    </row>
    <row r="163" spans="1:26" ht="13.5" customHeight="1">
      <c r="A163" s="31"/>
      <c r="B163" s="31"/>
      <c r="C163" s="44"/>
      <c r="D163" s="31"/>
      <c r="E163" s="30"/>
      <c r="F163" s="31"/>
      <c r="G163" s="31"/>
      <c r="H163" s="31"/>
      <c r="I163" s="31"/>
      <c r="J163" s="31"/>
      <c r="K163" s="31"/>
      <c r="L163" s="31"/>
      <c r="M163" s="31"/>
      <c r="N163" s="31"/>
      <c r="O163" s="31"/>
      <c r="P163" s="31"/>
      <c r="Q163" s="31"/>
      <c r="R163" s="31"/>
      <c r="S163" s="31"/>
      <c r="T163" s="31"/>
      <c r="U163" s="31"/>
      <c r="V163" s="31"/>
      <c r="W163" s="31"/>
      <c r="X163" s="31"/>
      <c r="Y163" s="31"/>
      <c r="Z163" s="31"/>
    </row>
    <row r="164" spans="1:26" ht="13.5" customHeight="1">
      <c r="A164" s="31"/>
      <c r="B164" s="31"/>
      <c r="C164" s="44"/>
      <c r="D164" s="31"/>
      <c r="E164" s="30"/>
      <c r="F164" s="31"/>
      <c r="G164" s="31"/>
      <c r="H164" s="31"/>
      <c r="I164" s="31"/>
      <c r="J164" s="31"/>
      <c r="K164" s="31"/>
      <c r="L164" s="31"/>
      <c r="M164" s="31"/>
      <c r="N164" s="31"/>
      <c r="O164" s="31"/>
      <c r="P164" s="31"/>
      <c r="Q164" s="31"/>
      <c r="R164" s="31"/>
      <c r="S164" s="31"/>
      <c r="T164" s="31"/>
      <c r="U164" s="31"/>
      <c r="V164" s="31"/>
      <c r="W164" s="31"/>
      <c r="X164" s="31"/>
      <c r="Y164" s="31"/>
      <c r="Z164" s="31"/>
    </row>
    <row r="165" spans="1:26" ht="13.5" customHeight="1">
      <c r="A165" s="31"/>
      <c r="B165" s="31"/>
      <c r="C165" s="44"/>
      <c r="D165" s="31"/>
      <c r="E165" s="30"/>
      <c r="F165" s="31"/>
      <c r="G165" s="31"/>
      <c r="H165" s="31"/>
      <c r="I165" s="31"/>
      <c r="J165" s="31"/>
      <c r="K165" s="31"/>
      <c r="L165" s="31"/>
      <c r="M165" s="31"/>
      <c r="N165" s="31"/>
      <c r="O165" s="31"/>
      <c r="P165" s="31"/>
      <c r="Q165" s="31"/>
      <c r="R165" s="31"/>
      <c r="S165" s="31"/>
      <c r="T165" s="31"/>
      <c r="U165" s="31"/>
      <c r="V165" s="31"/>
      <c r="W165" s="31"/>
      <c r="X165" s="31"/>
      <c r="Y165" s="31"/>
      <c r="Z165" s="31"/>
    </row>
    <row r="166" spans="1:26" ht="13.5" customHeight="1">
      <c r="A166" s="31"/>
      <c r="B166" s="31"/>
      <c r="C166" s="44"/>
      <c r="D166" s="31"/>
      <c r="E166" s="30"/>
      <c r="F166" s="31"/>
      <c r="G166" s="31"/>
      <c r="H166" s="31"/>
      <c r="I166" s="31"/>
      <c r="J166" s="31"/>
      <c r="K166" s="31"/>
      <c r="L166" s="31"/>
      <c r="M166" s="31"/>
      <c r="N166" s="31"/>
      <c r="O166" s="31"/>
      <c r="P166" s="31"/>
      <c r="Q166" s="31"/>
      <c r="R166" s="31"/>
      <c r="S166" s="31"/>
      <c r="T166" s="31"/>
      <c r="U166" s="31"/>
      <c r="V166" s="31"/>
      <c r="W166" s="31"/>
      <c r="X166" s="31"/>
      <c r="Y166" s="31"/>
      <c r="Z166" s="31"/>
    </row>
    <row r="167" spans="1:26" ht="13.5" customHeight="1">
      <c r="A167" s="31"/>
      <c r="B167" s="31"/>
      <c r="C167" s="44"/>
      <c r="D167" s="31"/>
      <c r="E167" s="30"/>
      <c r="F167" s="31"/>
      <c r="G167" s="31"/>
      <c r="H167" s="31"/>
      <c r="I167" s="31"/>
      <c r="J167" s="31"/>
      <c r="K167" s="31"/>
      <c r="L167" s="31"/>
      <c r="M167" s="31"/>
      <c r="N167" s="31"/>
      <c r="O167" s="31"/>
      <c r="P167" s="31"/>
      <c r="Q167" s="31"/>
      <c r="R167" s="31"/>
      <c r="S167" s="31"/>
      <c r="T167" s="31"/>
      <c r="U167" s="31"/>
      <c r="V167" s="31"/>
      <c r="W167" s="31"/>
      <c r="X167" s="31"/>
      <c r="Y167" s="31"/>
      <c r="Z167" s="31"/>
    </row>
    <row r="168" spans="1:26" ht="13.5" customHeight="1">
      <c r="A168" s="31"/>
      <c r="B168" s="31"/>
      <c r="C168" s="44"/>
      <c r="D168" s="31"/>
      <c r="E168" s="30"/>
      <c r="F168" s="31"/>
      <c r="G168" s="31"/>
      <c r="H168" s="31"/>
      <c r="I168" s="31"/>
      <c r="J168" s="31"/>
      <c r="K168" s="31"/>
      <c r="L168" s="31"/>
      <c r="M168" s="31"/>
      <c r="N168" s="31"/>
      <c r="O168" s="31"/>
      <c r="P168" s="31"/>
      <c r="Q168" s="31"/>
      <c r="R168" s="31"/>
      <c r="S168" s="31"/>
      <c r="T168" s="31"/>
      <c r="U168" s="31"/>
      <c r="V168" s="31"/>
      <c r="W168" s="31"/>
      <c r="X168" s="31"/>
      <c r="Y168" s="31"/>
      <c r="Z168" s="31"/>
    </row>
    <row r="169" spans="1:26" ht="13.5" customHeight="1">
      <c r="A169" s="31"/>
      <c r="B169" s="31"/>
      <c r="C169" s="44"/>
      <c r="D169" s="31"/>
      <c r="E169" s="30"/>
      <c r="F169" s="31"/>
      <c r="G169" s="31"/>
      <c r="H169" s="31"/>
      <c r="I169" s="31"/>
      <c r="J169" s="31"/>
      <c r="K169" s="31"/>
      <c r="L169" s="31"/>
      <c r="M169" s="31"/>
      <c r="N169" s="31"/>
      <c r="O169" s="31"/>
      <c r="P169" s="31"/>
      <c r="Q169" s="31"/>
      <c r="R169" s="31"/>
      <c r="S169" s="31"/>
      <c r="T169" s="31"/>
      <c r="U169" s="31"/>
      <c r="V169" s="31"/>
      <c r="W169" s="31"/>
      <c r="X169" s="31"/>
      <c r="Y169" s="31"/>
      <c r="Z169" s="31"/>
    </row>
    <row r="170" spans="1:26" ht="13.5" customHeight="1">
      <c r="A170" s="31"/>
      <c r="B170" s="31"/>
      <c r="C170" s="44"/>
      <c r="D170" s="31"/>
      <c r="E170" s="30"/>
      <c r="F170" s="31"/>
      <c r="G170" s="31"/>
      <c r="H170" s="31"/>
      <c r="I170" s="31"/>
      <c r="J170" s="31"/>
      <c r="K170" s="31"/>
      <c r="L170" s="31"/>
      <c r="M170" s="31"/>
      <c r="N170" s="31"/>
      <c r="O170" s="31"/>
      <c r="P170" s="31"/>
      <c r="Q170" s="31"/>
      <c r="R170" s="31"/>
      <c r="S170" s="31"/>
      <c r="T170" s="31"/>
      <c r="U170" s="31"/>
      <c r="V170" s="31"/>
      <c r="W170" s="31"/>
      <c r="X170" s="31"/>
      <c r="Y170" s="31"/>
      <c r="Z170" s="31"/>
    </row>
    <row r="171" spans="1:26" ht="13.5" customHeight="1">
      <c r="A171" s="31"/>
      <c r="B171" s="31"/>
      <c r="C171" s="44"/>
      <c r="D171" s="31"/>
      <c r="E171" s="30"/>
      <c r="F171" s="31"/>
      <c r="G171" s="31"/>
      <c r="H171" s="31"/>
      <c r="I171" s="31"/>
      <c r="J171" s="31"/>
      <c r="K171" s="31"/>
      <c r="L171" s="31"/>
      <c r="M171" s="31"/>
      <c r="N171" s="31"/>
      <c r="O171" s="31"/>
      <c r="P171" s="31"/>
      <c r="Q171" s="31"/>
      <c r="R171" s="31"/>
      <c r="S171" s="31"/>
      <c r="T171" s="31"/>
      <c r="U171" s="31"/>
      <c r="V171" s="31"/>
      <c r="W171" s="31"/>
      <c r="X171" s="31"/>
      <c r="Y171" s="31"/>
      <c r="Z171" s="31"/>
    </row>
    <row r="172" spans="1:26" ht="13.5" customHeight="1">
      <c r="A172" s="31"/>
      <c r="B172" s="31"/>
      <c r="C172" s="44"/>
      <c r="D172" s="31"/>
      <c r="E172" s="30"/>
      <c r="F172" s="31"/>
      <c r="G172" s="31"/>
      <c r="H172" s="31"/>
      <c r="I172" s="31"/>
      <c r="J172" s="31"/>
      <c r="K172" s="31"/>
      <c r="L172" s="31"/>
      <c r="M172" s="31"/>
      <c r="N172" s="31"/>
      <c r="O172" s="31"/>
      <c r="P172" s="31"/>
      <c r="Q172" s="31"/>
      <c r="R172" s="31"/>
      <c r="S172" s="31"/>
      <c r="T172" s="31"/>
      <c r="U172" s="31"/>
      <c r="V172" s="31"/>
      <c r="W172" s="31"/>
      <c r="X172" s="31"/>
      <c r="Y172" s="31"/>
      <c r="Z172" s="31"/>
    </row>
    <row r="173" spans="1:26" ht="13.5" customHeight="1">
      <c r="A173" s="31"/>
      <c r="B173" s="31"/>
      <c r="C173" s="44"/>
      <c r="D173" s="31"/>
      <c r="E173" s="30"/>
      <c r="F173" s="31"/>
      <c r="G173" s="31"/>
      <c r="H173" s="31"/>
      <c r="I173" s="31"/>
      <c r="J173" s="31"/>
      <c r="K173" s="31"/>
      <c r="L173" s="31"/>
      <c r="M173" s="31"/>
      <c r="N173" s="31"/>
      <c r="O173" s="31"/>
      <c r="P173" s="31"/>
      <c r="Q173" s="31"/>
      <c r="R173" s="31"/>
      <c r="S173" s="31"/>
      <c r="T173" s="31"/>
      <c r="U173" s="31"/>
      <c r="V173" s="31"/>
      <c r="W173" s="31"/>
      <c r="X173" s="31"/>
      <c r="Y173" s="31"/>
      <c r="Z173" s="31"/>
    </row>
    <row r="174" spans="1:26" ht="13.5" customHeight="1">
      <c r="A174" s="31"/>
      <c r="B174" s="31"/>
      <c r="C174" s="44"/>
      <c r="D174" s="31"/>
      <c r="E174" s="30"/>
      <c r="F174" s="31"/>
      <c r="G174" s="31"/>
      <c r="H174" s="31"/>
      <c r="I174" s="31"/>
      <c r="J174" s="31"/>
      <c r="K174" s="31"/>
      <c r="L174" s="31"/>
      <c r="M174" s="31"/>
      <c r="N174" s="31"/>
      <c r="O174" s="31"/>
      <c r="P174" s="31"/>
      <c r="Q174" s="31"/>
      <c r="R174" s="31"/>
      <c r="S174" s="31"/>
      <c r="T174" s="31"/>
      <c r="U174" s="31"/>
      <c r="V174" s="31"/>
      <c r="W174" s="31"/>
      <c r="X174" s="31"/>
      <c r="Y174" s="31"/>
      <c r="Z174" s="31"/>
    </row>
    <row r="175" spans="1:26" ht="13.5" customHeight="1">
      <c r="A175" s="31"/>
      <c r="B175" s="31"/>
      <c r="C175" s="44"/>
      <c r="D175" s="31"/>
      <c r="E175" s="30"/>
      <c r="F175" s="31"/>
      <c r="G175" s="31"/>
      <c r="H175" s="31"/>
      <c r="I175" s="31"/>
      <c r="J175" s="31"/>
      <c r="K175" s="31"/>
      <c r="L175" s="31"/>
      <c r="M175" s="31"/>
      <c r="N175" s="31"/>
      <c r="O175" s="31"/>
      <c r="P175" s="31"/>
      <c r="Q175" s="31"/>
      <c r="R175" s="31"/>
      <c r="S175" s="31"/>
      <c r="T175" s="31"/>
      <c r="U175" s="31"/>
      <c r="V175" s="31"/>
      <c r="W175" s="31"/>
      <c r="X175" s="31"/>
      <c r="Y175" s="31"/>
      <c r="Z175" s="31"/>
    </row>
    <row r="176" spans="1:26" ht="13.5" customHeight="1">
      <c r="A176" s="31"/>
      <c r="B176" s="31"/>
      <c r="C176" s="44"/>
      <c r="D176" s="31"/>
      <c r="E176" s="30"/>
      <c r="F176" s="31"/>
      <c r="G176" s="31"/>
      <c r="H176" s="31"/>
      <c r="I176" s="31"/>
      <c r="J176" s="31"/>
      <c r="K176" s="31"/>
      <c r="L176" s="31"/>
      <c r="M176" s="31"/>
      <c r="N176" s="31"/>
      <c r="O176" s="31"/>
      <c r="P176" s="31"/>
      <c r="Q176" s="31"/>
      <c r="R176" s="31"/>
      <c r="S176" s="31"/>
      <c r="T176" s="31"/>
      <c r="U176" s="31"/>
      <c r="V176" s="31"/>
      <c r="W176" s="31"/>
      <c r="X176" s="31"/>
      <c r="Y176" s="31"/>
      <c r="Z176" s="31"/>
    </row>
    <row r="177" spans="1:26" ht="13.5" customHeight="1">
      <c r="A177" s="31"/>
      <c r="B177" s="31"/>
      <c r="C177" s="44"/>
      <c r="D177" s="31"/>
      <c r="E177" s="30"/>
      <c r="F177" s="31"/>
      <c r="G177" s="31"/>
      <c r="H177" s="31"/>
      <c r="I177" s="31"/>
      <c r="J177" s="31"/>
      <c r="K177" s="31"/>
      <c r="L177" s="31"/>
      <c r="M177" s="31"/>
      <c r="N177" s="31"/>
      <c r="O177" s="31"/>
      <c r="P177" s="31"/>
      <c r="Q177" s="31"/>
      <c r="R177" s="31"/>
      <c r="S177" s="31"/>
      <c r="T177" s="31"/>
      <c r="U177" s="31"/>
      <c r="V177" s="31"/>
      <c r="W177" s="31"/>
      <c r="X177" s="31"/>
      <c r="Y177" s="31"/>
      <c r="Z177" s="31"/>
    </row>
    <row r="178" spans="1:26" ht="13.5" customHeight="1">
      <c r="A178" s="31"/>
      <c r="B178" s="31"/>
      <c r="C178" s="44"/>
      <c r="D178" s="31"/>
      <c r="E178" s="30"/>
      <c r="F178" s="31"/>
      <c r="G178" s="31"/>
      <c r="H178" s="31"/>
      <c r="I178" s="31"/>
      <c r="J178" s="31"/>
      <c r="K178" s="31"/>
      <c r="L178" s="31"/>
      <c r="M178" s="31"/>
      <c r="N178" s="31"/>
      <c r="O178" s="31"/>
      <c r="P178" s="31"/>
      <c r="Q178" s="31"/>
      <c r="R178" s="31"/>
      <c r="S178" s="31"/>
      <c r="T178" s="31"/>
      <c r="U178" s="31"/>
      <c r="V178" s="31"/>
      <c r="W178" s="31"/>
      <c r="X178" s="31"/>
      <c r="Y178" s="31"/>
      <c r="Z178" s="31"/>
    </row>
    <row r="179" spans="1:26" ht="13.5" customHeight="1">
      <c r="A179" s="31"/>
      <c r="B179" s="31"/>
      <c r="C179" s="44"/>
      <c r="D179" s="31"/>
      <c r="E179" s="30"/>
      <c r="F179" s="31"/>
      <c r="G179" s="31"/>
      <c r="H179" s="31"/>
      <c r="I179" s="31"/>
      <c r="J179" s="31"/>
      <c r="K179" s="31"/>
      <c r="L179" s="31"/>
      <c r="M179" s="31"/>
      <c r="N179" s="31"/>
      <c r="O179" s="31"/>
      <c r="P179" s="31"/>
      <c r="Q179" s="31"/>
      <c r="R179" s="31"/>
      <c r="S179" s="31"/>
      <c r="T179" s="31"/>
      <c r="U179" s="31"/>
      <c r="V179" s="31"/>
      <c r="W179" s="31"/>
      <c r="X179" s="31"/>
      <c r="Y179" s="31"/>
      <c r="Z179" s="31"/>
    </row>
    <row r="180" spans="1:26" ht="13.5" customHeight="1">
      <c r="A180" s="31"/>
      <c r="B180" s="31"/>
      <c r="C180" s="44"/>
      <c r="D180" s="31"/>
      <c r="E180" s="30"/>
      <c r="F180" s="31"/>
      <c r="G180" s="31"/>
      <c r="H180" s="31"/>
      <c r="I180" s="31"/>
      <c r="J180" s="31"/>
      <c r="K180" s="31"/>
      <c r="L180" s="31"/>
      <c r="M180" s="31"/>
      <c r="N180" s="31"/>
      <c r="O180" s="31"/>
      <c r="P180" s="31"/>
      <c r="Q180" s="31"/>
      <c r="R180" s="31"/>
      <c r="S180" s="31"/>
      <c r="T180" s="31"/>
      <c r="U180" s="31"/>
      <c r="V180" s="31"/>
      <c r="W180" s="31"/>
      <c r="X180" s="31"/>
      <c r="Y180" s="31"/>
      <c r="Z180" s="31"/>
    </row>
    <row r="181" spans="1:26" ht="13.5" customHeight="1">
      <c r="A181" s="31"/>
      <c r="B181" s="31"/>
      <c r="C181" s="44"/>
      <c r="D181" s="31"/>
      <c r="E181" s="30"/>
      <c r="F181" s="31"/>
      <c r="G181" s="31"/>
      <c r="H181" s="31"/>
      <c r="I181" s="31"/>
      <c r="J181" s="31"/>
      <c r="K181" s="31"/>
      <c r="L181" s="31"/>
      <c r="M181" s="31"/>
      <c r="N181" s="31"/>
      <c r="O181" s="31"/>
      <c r="P181" s="31"/>
      <c r="Q181" s="31"/>
      <c r="R181" s="31"/>
      <c r="S181" s="31"/>
      <c r="T181" s="31"/>
      <c r="U181" s="31"/>
      <c r="V181" s="31"/>
      <c r="W181" s="31"/>
      <c r="X181" s="31"/>
      <c r="Y181" s="31"/>
      <c r="Z181" s="31"/>
    </row>
    <row r="182" spans="1:26" ht="13.5" customHeight="1">
      <c r="A182" s="31"/>
      <c r="B182" s="31"/>
      <c r="C182" s="44"/>
      <c r="D182" s="31"/>
      <c r="E182" s="30"/>
      <c r="F182" s="31"/>
      <c r="G182" s="31"/>
      <c r="H182" s="31"/>
      <c r="I182" s="31"/>
      <c r="J182" s="31"/>
      <c r="K182" s="31"/>
      <c r="L182" s="31"/>
      <c r="M182" s="31"/>
      <c r="N182" s="31"/>
      <c r="O182" s="31"/>
      <c r="P182" s="31"/>
      <c r="Q182" s="31"/>
      <c r="R182" s="31"/>
      <c r="S182" s="31"/>
      <c r="T182" s="31"/>
      <c r="U182" s="31"/>
      <c r="V182" s="31"/>
      <c r="W182" s="31"/>
      <c r="X182" s="31"/>
      <c r="Y182" s="31"/>
      <c r="Z182" s="31"/>
    </row>
    <row r="183" spans="1:26" ht="13.5" customHeight="1">
      <c r="A183" s="31"/>
      <c r="B183" s="31"/>
      <c r="C183" s="44"/>
      <c r="D183" s="31"/>
      <c r="E183" s="30"/>
      <c r="F183" s="31"/>
      <c r="G183" s="31"/>
      <c r="H183" s="31"/>
      <c r="I183" s="31"/>
      <c r="J183" s="31"/>
      <c r="K183" s="31"/>
      <c r="L183" s="31"/>
      <c r="M183" s="31"/>
      <c r="N183" s="31"/>
      <c r="O183" s="31"/>
      <c r="P183" s="31"/>
      <c r="Q183" s="31"/>
      <c r="R183" s="31"/>
      <c r="S183" s="31"/>
      <c r="T183" s="31"/>
      <c r="U183" s="31"/>
      <c r="V183" s="31"/>
      <c r="W183" s="31"/>
      <c r="X183" s="31"/>
      <c r="Y183" s="31"/>
      <c r="Z183" s="31"/>
    </row>
    <row r="184" spans="1:26" ht="13.5" customHeight="1">
      <c r="A184" s="31"/>
      <c r="B184" s="31"/>
      <c r="C184" s="44"/>
      <c r="D184" s="31"/>
      <c r="E184" s="30"/>
      <c r="F184" s="31"/>
      <c r="G184" s="31"/>
      <c r="H184" s="31"/>
      <c r="I184" s="31"/>
      <c r="J184" s="31"/>
      <c r="K184" s="31"/>
      <c r="L184" s="31"/>
      <c r="M184" s="31"/>
      <c r="N184" s="31"/>
      <c r="O184" s="31"/>
      <c r="P184" s="31"/>
      <c r="Q184" s="31"/>
      <c r="R184" s="31"/>
      <c r="S184" s="31"/>
      <c r="T184" s="31"/>
      <c r="U184" s="31"/>
      <c r="V184" s="31"/>
      <c r="W184" s="31"/>
      <c r="X184" s="31"/>
      <c r="Y184" s="31"/>
      <c r="Z184" s="31"/>
    </row>
    <row r="185" spans="1:26" ht="13.5" customHeight="1">
      <c r="A185" s="31"/>
      <c r="B185" s="31"/>
      <c r="C185" s="44"/>
      <c r="D185" s="31"/>
      <c r="E185" s="30"/>
      <c r="F185" s="31"/>
      <c r="G185" s="31"/>
      <c r="H185" s="31"/>
      <c r="I185" s="31"/>
      <c r="J185" s="31"/>
      <c r="K185" s="31"/>
      <c r="L185" s="31"/>
      <c r="M185" s="31"/>
      <c r="N185" s="31"/>
      <c r="O185" s="31"/>
      <c r="P185" s="31"/>
      <c r="Q185" s="31"/>
      <c r="R185" s="31"/>
      <c r="S185" s="31"/>
      <c r="T185" s="31"/>
      <c r="U185" s="31"/>
      <c r="V185" s="31"/>
      <c r="W185" s="31"/>
      <c r="X185" s="31"/>
      <c r="Y185" s="31"/>
      <c r="Z185" s="31"/>
    </row>
    <row r="186" spans="1:26" ht="13.5" customHeight="1">
      <c r="A186" s="31"/>
      <c r="B186" s="31"/>
      <c r="C186" s="44"/>
      <c r="D186" s="31"/>
      <c r="E186" s="30"/>
      <c r="F186" s="31"/>
      <c r="G186" s="31"/>
      <c r="H186" s="31"/>
      <c r="I186" s="31"/>
      <c r="J186" s="31"/>
      <c r="K186" s="31"/>
      <c r="L186" s="31"/>
      <c r="M186" s="31"/>
      <c r="N186" s="31"/>
      <c r="O186" s="31"/>
      <c r="P186" s="31"/>
      <c r="Q186" s="31"/>
      <c r="R186" s="31"/>
      <c r="S186" s="31"/>
      <c r="T186" s="31"/>
      <c r="U186" s="31"/>
      <c r="V186" s="31"/>
      <c r="W186" s="31"/>
      <c r="X186" s="31"/>
      <c r="Y186" s="31"/>
      <c r="Z186" s="31"/>
    </row>
    <row r="187" spans="1:26" ht="13.5" customHeight="1">
      <c r="A187" s="31"/>
      <c r="B187" s="31"/>
      <c r="C187" s="44"/>
      <c r="D187" s="31"/>
      <c r="E187" s="30"/>
      <c r="F187" s="31"/>
      <c r="G187" s="31"/>
      <c r="H187" s="31"/>
      <c r="I187" s="31"/>
      <c r="J187" s="31"/>
      <c r="K187" s="31"/>
      <c r="L187" s="31"/>
      <c r="M187" s="31"/>
      <c r="N187" s="31"/>
      <c r="O187" s="31"/>
      <c r="P187" s="31"/>
      <c r="Q187" s="31"/>
      <c r="R187" s="31"/>
      <c r="S187" s="31"/>
      <c r="T187" s="31"/>
      <c r="U187" s="31"/>
      <c r="V187" s="31"/>
      <c r="W187" s="31"/>
      <c r="X187" s="31"/>
      <c r="Y187" s="31"/>
      <c r="Z187" s="31"/>
    </row>
    <row r="188" spans="1:26" ht="13.5" customHeight="1">
      <c r="A188" s="31"/>
      <c r="B188" s="31"/>
      <c r="C188" s="44"/>
      <c r="D188" s="31"/>
      <c r="E188" s="30"/>
      <c r="F188" s="31"/>
      <c r="G188" s="31"/>
      <c r="H188" s="31"/>
      <c r="I188" s="31"/>
      <c r="J188" s="31"/>
      <c r="K188" s="31"/>
      <c r="L188" s="31"/>
      <c r="M188" s="31"/>
      <c r="N188" s="31"/>
      <c r="O188" s="31"/>
      <c r="P188" s="31"/>
      <c r="Q188" s="31"/>
      <c r="R188" s="31"/>
      <c r="S188" s="31"/>
      <c r="T188" s="31"/>
      <c r="U188" s="31"/>
      <c r="V188" s="31"/>
      <c r="W188" s="31"/>
      <c r="X188" s="31"/>
      <c r="Y188" s="31"/>
      <c r="Z188" s="31"/>
    </row>
    <row r="189" spans="1:26" ht="13.5" customHeight="1">
      <c r="A189" s="31"/>
      <c r="B189" s="31"/>
      <c r="C189" s="44"/>
      <c r="D189" s="31"/>
      <c r="E189" s="30"/>
      <c r="F189" s="31"/>
      <c r="G189" s="31"/>
      <c r="H189" s="31"/>
      <c r="I189" s="31"/>
      <c r="J189" s="31"/>
      <c r="K189" s="31"/>
      <c r="L189" s="31"/>
      <c r="M189" s="31"/>
      <c r="N189" s="31"/>
      <c r="O189" s="31"/>
      <c r="P189" s="31"/>
      <c r="Q189" s="31"/>
      <c r="R189" s="31"/>
      <c r="S189" s="31"/>
      <c r="T189" s="31"/>
      <c r="U189" s="31"/>
      <c r="V189" s="31"/>
      <c r="W189" s="31"/>
      <c r="X189" s="31"/>
      <c r="Y189" s="31"/>
      <c r="Z189" s="31"/>
    </row>
    <row r="190" spans="1:26" ht="13.5" customHeight="1">
      <c r="A190" s="31"/>
      <c r="B190" s="31"/>
      <c r="C190" s="44"/>
      <c r="D190" s="31"/>
      <c r="E190" s="30"/>
      <c r="F190" s="31"/>
      <c r="G190" s="31"/>
      <c r="H190" s="31"/>
      <c r="I190" s="31"/>
      <c r="J190" s="31"/>
      <c r="K190" s="31"/>
      <c r="L190" s="31"/>
      <c r="M190" s="31"/>
      <c r="N190" s="31"/>
      <c r="O190" s="31"/>
      <c r="P190" s="31"/>
      <c r="Q190" s="31"/>
      <c r="R190" s="31"/>
      <c r="S190" s="31"/>
      <c r="T190" s="31"/>
      <c r="U190" s="31"/>
      <c r="V190" s="31"/>
      <c r="W190" s="31"/>
      <c r="X190" s="31"/>
      <c r="Y190" s="31"/>
      <c r="Z190" s="31"/>
    </row>
    <row r="191" spans="1:26" ht="13.5" customHeight="1">
      <c r="A191" s="31"/>
      <c r="B191" s="31"/>
      <c r="C191" s="44"/>
      <c r="D191" s="31"/>
      <c r="E191" s="30"/>
      <c r="F191" s="31"/>
      <c r="G191" s="31"/>
      <c r="H191" s="31"/>
      <c r="I191" s="31"/>
      <c r="J191" s="31"/>
      <c r="K191" s="31"/>
      <c r="L191" s="31"/>
      <c r="M191" s="31"/>
      <c r="N191" s="31"/>
      <c r="O191" s="31"/>
      <c r="P191" s="31"/>
      <c r="Q191" s="31"/>
      <c r="R191" s="31"/>
      <c r="S191" s="31"/>
      <c r="T191" s="31"/>
      <c r="U191" s="31"/>
      <c r="V191" s="31"/>
      <c r="W191" s="31"/>
      <c r="X191" s="31"/>
      <c r="Y191" s="31"/>
      <c r="Z191" s="31"/>
    </row>
    <row r="192" spans="1:26" ht="13.5" customHeight="1">
      <c r="A192" s="31"/>
      <c r="B192" s="31"/>
      <c r="C192" s="44"/>
      <c r="D192" s="31"/>
      <c r="E192" s="30"/>
      <c r="F192" s="31"/>
      <c r="G192" s="31"/>
      <c r="H192" s="31"/>
      <c r="I192" s="31"/>
      <c r="J192" s="31"/>
      <c r="K192" s="31"/>
      <c r="L192" s="31"/>
      <c r="M192" s="31"/>
      <c r="N192" s="31"/>
      <c r="O192" s="31"/>
      <c r="P192" s="31"/>
      <c r="Q192" s="31"/>
      <c r="R192" s="31"/>
      <c r="S192" s="31"/>
      <c r="T192" s="31"/>
      <c r="U192" s="31"/>
      <c r="V192" s="31"/>
      <c r="W192" s="31"/>
      <c r="X192" s="31"/>
      <c r="Y192" s="31"/>
      <c r="Z192" s="31"/>
    </row>
    <row r="193" spans="1:26" ht="13.5" customHeight="1">
      <c r="A193" s="31"/>
      <c r="B193" s="31"/>
      <c r="C193" s="44"/>
      <c r="D193" s="31"/>
      <c r="E193" s="30"/>
      <c r="F193" s="31"/>
      <c r="G193" s="31"/>
      <c r="H193" s="31"/>
      <c r="I193" s="31"/>
      <c r="J193" s="31"/>
      <c r="K193" s="31"/>
      <c r="L193" s="31"/>
      <c r="M193" s="31"/>
      <c r="N193" s="31"/>
      <c r="O193" s="31"/>
      <c r="P193" s="31"/>
      <c r="Q193" s="31"/>
      <c r="R193" s="31"/>
      <c r="S193" s="31"/>
      <c r="T193" s="31"/>
      <c r="U193" s="31"/>
      <c r="V193" s="31"/>
      <c r="W193" s="31"/>
      <c r="X193" s="31"/>
      <c r="Y193" s="31"/>
      <c r="Z193" s="31"/>
    </row>
    <row r="194" spans="1:26" ht="13.5" customHeight="1">
      <c r="A194" s="31"/>
      <c r="B194" s="31"/>
      <c r="C194" s="44"/>
      <c r="D194" s="31"/>
      <c r="E194" s="30"/>
      <c r="F194" s="31"/>
      <c r="G194" s="31"/>
      <c r="H194" s="31"/>
      <c r="I194" s="31"/>
      <c r="J194" s="31"/>
      <c r="K194" s="31"/>
      <c r="L194" s="31"/>
      <c r="M194" s="31"/>
      <c r="N194" s="31"/>
      <c r="O194" s="31"/>
      <c r="P194" s="31"/>
      <c r="Q194" s="31"/>
      <c r="R194" s="31"/>
      <c r="S194" s="31"/>
      <c r="T194" s="31"/>
      <c r="U194" s="31"/>
      <c r="V194" s="31"/>
      <c r="W194" s="31"/>
      <c r="X194" s="31"/>
      <c r="Y194" s="31"/>
      <c r="Z194" s="31"/>
    </row>
    <row r="195" spans="1:26" ht="13.5" customHeight="1">
      <c r="A195" s="31"/>
      <c r="B195" s="31"/>
      <c r="C195" s="44"/>
      <c r="D195" s="31"/>
      <c r="E195" s="30"/>
      <c r="F195" s="31"/>
      <c r="G195" s="31"/>
      <c r="H195" s="31"/>
      <c r="I195" s="31"/>
      <c r="J195" s="31"/>
      <c r="K195" s="31"/>
      <c r="L195" s="31"/>
      <c r="M195" s="31"/>
      <c r="N195" s="31"/>
      <c r="O195" s="31"/>
      <c r="P195" s="31"/>
      <c r="Q195" s="31"/>
      <c r="R195" s="31"/>
      <c r="S195" s="31"/>
      <c r="T195" s="31"/>
      <c r="U195" s="31"/>
      <c r="V195" s="31"/>
      <c r="W195" s="31"/>
      <c r="X195" s="31"/>
      <c r="Y195" s="31"/>
      <c r="Z195" s="31"/>
    </row>
    <row r="196" spans="1:26" ht="13.5" customHeight="1">
      <c r="A196" s="31"/>
      <c r="B196" s="31"/>
      <c r="C196" s="44"/>
      <c r="D196" s="31"/>
      <c r="E196" s="30"/>
      <c r="F196" s="31"/>
      <c r="G196" s="31"/>
      <c r="H196" s="31"/>
      <c r="I196" s="31"/>
      <c r="J196" s="31"/>
      <c r="K196" s="31"/>
      <c r="L196" s="31"/>
      <c r="M196" s="31"/>
      <c r="N196" s="31"/>
      <c r="O196" s="31"/>
      <c r="P196" s="31"/>
      <c r="Q196" s="31"/>
      <c r="R196" s="31"/>
      <c r="S196" s="31"/>
      <c r="T196" s="31"/>
      <c r="U196" s="31"/>
      <c r="V196" s="31"/>
      <c r="W196" s="31"/>
      <c r="X196" s="31"/>
      <c r="Y196" s="31"/>
      <c r="Z196" s="31"/>
    </row>
    <row r="197" spans="1:26" ht="13.5" customHeight="1">
      <c r="A197" s="31"/>
      <c r="B197" s="31"/>
      <c r="C197" s="44"/>
      <c r="D197" s="31"/>
      <c r="E197" s="30"/>
      <c r="F197" s="31"/>
      <c r="G197" s="31"/>
      <c r="H197" s="31"/>
      <c r="I197" s="31"/>
      <c r="J197" s="31"/>
      <c r="K197" s="31"/>
      <c r="L197" s="31"/>
      <c r="M197" s="31"/>
      <c r="N197" s="31"/>
      <c r="O197" s="31"/>
      <c r="P197" s="31"/>
      <c r="Q197" s="31"/>
      <c r="R197" s="31"/>
      <c r="S197" s="31"/>
      <c r="T197" s="31"/>
      <c r="U197" s="31"/>
      <c r="V197" s="31"/>
      <c r="W197" s="31"/>
      <c r="X197" s="31"/>
      <c r="Y197" s="31"/>
      <c r="Z197" s="31"/>
    </row>
    <row r="198" spans="1:26" ht="13.5" customHeight="1">
      <c r="A198" s="31"/>
      <c r="B198" s="31"/>
      <c r="C198" s="44"/>
      <c r="D198" s="31"/>
      <c r="E198" s="30"/>
      <c r="F198" s="31"/>
      <c r="G198" s="31"/>
      <c r="H198" s="31"/>
      <c r="I198" s="31"/>
      <c r="J198" s="31"/>
      <c r="K198" s="31"/>
      <c r="L198" s="31"/>
      <c r="M198" s="31"/>
      <c r="N198" s="31"/>
      <c r="O198" s="31"/>
      <c r="P198" s="31"/>
      <c r="Q198" s="31"/>
      <c r="R198" s="31"/>
      <c r="S198" s="31"/>
      <c r="T198" s="31"/>
      <c r="U198" s="31"/>
      <c r="V198" s="31"/>
      <c r="W198" s="31"/>
      <c r="X198" s="31"/>
      <c r="Y198" s="31"/>
      <c r="Z198" s="31"/>
    </row>
    <row r="199" spans="1:26" ht="13.5" customHeight="1">
      <c r="A199" s="31"/>
      <c r="B199" s="31"/>
      <c r="C199" s="44"/>
      <c r="D199" s="31"/>
      <c r="E199" s="30"/>
      <c r="F199" s="31"/>
      <c r="G199" s="31"/>
      <c r="H199" s="31"/>
      <c r="I199" s="31"/>
      <c r="J199" s="31"/>
      <c r="K199" s="31"/>
      <c r="L199" s="31"/>
      <c r="M199" s="31"/>
      <c r="N199" s="31"/>
      <c r="O199" s="31"/>
      <c r="P199" s="31"/>
      <c r="Q199" s="31"/>
      <c r="R199" s="31"/>
      <c r="S199" s="31"/>
      <c r="T199" s="31"/>
      <c r="U199" s="31"/>
      <c r="V199" s="31"/>
      <c r="W199" s="31"/>
      <c r="X199" s="31"/>
      <c r="Y199" s="31"/>
      <c r="Z199" s="31"/>
    </row>
    <row r="200" spans="1:26" ht="13.5" customHeight="1">
      <c r="A200" s="31"/>
      <c r="B200" s="31"/>
      <c r="C200" s="44"/>
      <c r="D200" s="31"/>
      <c r="E200" s="30"/>
      <c r="F200" s="31"/>
      <c r="G200" s="31"/>
      <c r="H200" s="31"/>
      <c r="I200" s="31"/>
      <c r="J200" s="31"/>
      <c r="K200" s="31"/>
      <c r="L200" s="31"/>
      <c r="M200" s="31"/>
      <c r="N200" s="31"/>
      <c r="O200" s="31"/>
      <c r="P200" s="31"/>
      <c r="Q200" s="31"/>
      <c r="R200" s="31"/>
      <c r="S200" s="31"/>
      <c r="T200" s="31"/>
      <c r="U200" s="31"/>
      <c r="V200" s="31"/>
      <c r="W200" s="31"/>
      <c r="X200" s="31"/>
      <c r="Y200" s="31"/>
      <c r="Z200" s="31"/>
    </row>
    <row r="201" spans="1:26" ht="13.5" customHeight="1">
      <c r="A201" s="31"/>
      <c r="B201" s="31"/>
      <c r="C201" s="44"/>
      <c r="D201" s="31"/>
      <c r="E201" s="30"/>
      <c r="F201" s="31"/>
      <c r="G201" s="31"/>
      <c r="H201" s="31"/>
      <c r="I201" s="31"/>
      <c r="J201" s="31"/>
      <c r="K201" s="31"/>
      <c r="L201" s="31"/>
      <c r="M201" s="31"/>
      <c r="N201" s="31"/>
      <c r="O201" s="31"/>
      <c r="P201" s="31"/>
      <c r="Q201" s="31"/>
      <c r="R201" s="31"/>
      <c r="S201" s="31"/>
      <c r="T201" s="31"/>
      <c r="U201" s="31"/>
      <c r="V201" s="31"/>
      <c r="W201" s="31"/>
      <c r="X201" s="31"/>
      <c r="Y201" s="31"/>
      <c r="Z201" s="31"/>
    </row>
    <row r="202" spans="1:26" ht="13.5" customHeight="1">
      <c r="A202" s="31"/>
      <c r="B202" s="31"/>
      <c r="C202" s="44"/>
      <c r="D202" s="31"/>
      <c r="E202" s="30"/>
      <c r="F202" s="31"/>
      <c r="G202" s="31"/>
      <c r="H202" s="31"/>
      <c r="I202" s="31"/>
      <c r="J202" s="31"/>
      <c r="K202" s="31"/>
      <c r="L202" s="31"/>
      <c r="M202" s="31"/>
      <c r="N202" s="31"/>
      <c r="O202" s="31"/>
      <c r="P202" s="31"/>
      <c r="Q202" s="31"/>
      <c r="R202" s="31"/>
      <c r="S202" s="31"/>
      <c r="T202" s="31"/>
      <c r="U202" s="31"/>
      <c r="V202" s="31"/>
      <c r="W202" s="31"/>
      <c r="X202" s="31"/>
      <c r="Y202" s="31"/>
      <c r="Z202" s="31"/>
    </row>
    <row r="203" spans="1:26" ht="13.5" customHeight="1">
      <c r="A203" s="31"/>
      <c r="B203" s="31"/>
      <c r="C203" s="44"/>
      <c r="D203" s="31"/>
      <c r="E203" s="30"/>
      <c r="F203" s="31"/>
      <c r="G203" s="31"/>
      <c r="H203" s="31"/>
      <c r="I203" s="31"/>
      <c r="J203" s="31"/>
      <c r="K203" s="31"/>
      <c r="L203" s="31"/>
      <c r="M203" s="31"/>
      <c r="N203" s="31"/>
      <c r="O203" s="31"/>
      <c r="P203" s="31"/>
      <c r="Q203" s="31"/>
      <c r="R203" s="31"/>
      <c r="S203" s="31"/>
      <c r="T203" s="31"/>
      <c r="U203" s="31"/>
      <c r="V203" s="31"/>
      <c r="W203" s="31"/>
      <c r="X203" s="31"/>
      <c r="Y203" s="31"/>
      <c r="Z203" s="31"/>
    </row>
    <row r="204" spans="1:26" ht="13.5" customHeight="1">
      <c r="A204" s="31"/>
      <c r="B204" s="31"/>
      <c r="C204" s="44"/>
      <c r="D204" s="31"/>
      <c r="E204" s="30"/>
      <c r="F204" s="31"/>
      <c r="G204" s="31"/>
      <c r="H204" s="31"/>
      <c r="I204" s="31"/>
      <c r="J204" s="31"/>
      <c r="K204" s="31"/>
      <c r="L204" s="31"/>
      <c r="M204" s="31"/>
      <c r="N204" s="31"/>
      <c r="O204" s="31"/>
      <c r="P204" s="31"/>
      <c r="Q204" s="31"/>
      <c r="R204" s="31"/>
      <c r="S204" s="31"/>
      <c r="T204" s="31"/>
      <c r="U204" s="31"/>
      <c r="V204" s="31"/>
      <c r="W204" s="31"/>
      <c r="X204" s="31"/>
      <c r="Y204" s="31"/>
      <c r="Z204" s="31"/>
    </row>
    <row r="205" spans="1:26" ht="13.5" customHeight="1">
      <c r="A205" s="31"/>
      <c r="B205" s="31"/>
      <c r="C205" s="44"/>
      <c r="D205" s="31"/>
      <c r="E205" s="30"/>
      <c r="F205" s="31"/>
      <c r="G205" s="31"/>
      <c r="H205" s="31"/>
      <c r="I205" s="31"/>
      <c r="J205" s="31"/>
      <c r="K205" s="31"/>
      <c r="L205" s="31"/>
      <c r="M205" s="31"/>
      <c r="N205" s="31"/>
      <c r="O205" s="31"/>
      <c r="P205" s="31"/>
      <c r="Q205" s="31"/>
      <c r="R205" s="31"/>
      <c r="S205" s="31"/>
      <c r="T205" s="31"/>
      <c r="U205" s="31"/>
      <c r="V205" s="31"/>
      <c r="W205" s="31"/>
      <c r="X205" s="31"/>
      <c r="Y205" s="31"/>
      <c r="Z205" s="31"/>
    </row>
    <row r="206" spans="1:26" ht="13.5" customHeight="1">
      <c r="A206" s="31"/>
      <c r="B206" s="31"/>
      <c r="C206" s="44"/>
      <c r="D206" s="31"/>
      <c r="E206" s="30"/>
      <c r="F206" s="31"/>
      <c r="G206" s="31"/>
      <c r="H206" s="31"/>
      <c r="I206" s="31"/>
      <c r="J206" s="31"/>
      <c r="K206" s="31"/>
      <c r="L206" s="31"/>
      <c r="M206" s="31"/>
      <c r="N206" s="31"/>
      <c r="O206" s="31"/>
      <c r="P206" s="31"/>
      <c r="Q206" s="31"/>
      <c r="R206" s="31"/>
      <c r="S206" s="31"/>
      <c r="T206" s="31"/>
      <c r="U206" s="31"/>
      <c r="V206" s="31"/>
      <c r="W206" s="31"/>
      <c r="X206" s="31"/>
      <c r="Y206" s="31"/>
      <c r="Z206" s="31"/>
    </row>
    <row r="207" spans="1:26" ht="13.5" customHeight="1">
      <c r="A207" s="31"/>
      <c r="B207" s="31"/>
      <c r="C207" s="44"/>
      <c r="D207" s="31"/>
      <c r="E207" s="30"/>
      <c r="F207" s="31"/>
      <c r="G207" s="31"/>
      <c r="H207" s="31"/>
      <c r="I207" s="31"/>
      <c r="J207" s="31"/>
      <c r="K207" s="31"/>
      <c r="L207" s="31"/>
      <c r="M207" s="31"/>
      <c r="N207" s="31"/>
      <c r="O207" s="31"/>
      <c r="P207" s="31"/>
      <c r="Q207" s="31"/>
      <c r="R207" s="31"/>
      <c r="S207" s="31"/>
      <c r="T207" s="31"/>
      <c r="U207" s="31"/>
      <c r="V207" s="31"/>
      <c r="W207" s="31"/>
      <c r="X207" s="31"/>
      <c r="Y207" s="31"/>
      <c r="Z207" s="31"/>
    </row>
    <row r="208" spans="1:26" ht="13.5" customHeight="1">
      <c r="A208" s="31"/>
      <c r="B208" s="31"/>
      <c r="C208" s="44"/>
      <c r="D208" s="31"/>
      <c r="E208" s="30"/>
      <c r="F208" s="31"/>
      <c r="G208" s="31"/>
      <c r="H208" s="31"/>
      <c r="I208" s="31"/>
      <c r="J208" s="31"/>
      <c r="K208" s="31"/>
      <c r="L208" s="31"/>
      <c r="M208" s="31"/>
      <c r="N208" s="31"/>
      <c r="O208" s="31"/>
      <c r="P208" s="31"/>
      <c r="Q208" s="31"/>
      <c r="R208" s="31"/>
      <c r="S208" s="31"/>
      <c r="T208" s="31"/>
      <c r="U208" s="31"/>
      <c r="V208" s="31"/>
      <c r="W208" s="31"/>
      <c r="X208" s="31"/>
      <c r="Y208" s="31"/>
      <c r="Z208" s="31"/>
    </row>
    <row r="209" spans="1:26" ht="13.5" customHeight="1">
      <c r="A209" s="31"/>
      <c r="B209" s="31"/>
      <c r="C209" s="44"/>
      <c r="D209" s="31"/>
      <c r="E209" s="30"/>
      <c r="F209" s="31"/>
      <c r="G209" s="31"/>
      <c r="H209" s="31"/>
      <c r="I209" s="31"/>
      <c r="J209" s="31"/>
      <c r="K209" s="31"/>
      <c r="L209" s="31"/>
      <c r="M209" s="31"/>
      <c r="N209" s="31"/>
      <c r="O209" s="31"/>
      <c r="P209" s="31"/>
      <c r="Q209" s="31"/>
      <c r="R209" s="31"/>
      <c r="S209" s="31"/>
      <c r="T209" s="31"/>
      <c r="U209" s="31"/>
      <c r="V209" s="31"/>
      <c r="W209" s="31"/>
      <c r="X209" s="31"/>
      <c r="Y209" s="31"/>
      <c r="Z209" s="31"/>
    </row>
    <row r="210" spans="1:26" ht="13.5" customHeight="1">
      <c r="A210" s="31"/>
      <c r="B210" s="31"/>
      <c r="C210" s="44"/>
      <c r="D210" s="31"/>
      <c r="E210" s="30"/>
      <c r="F210" s="31"/>
      <c r="G210" s="31"/>
      <c r="H210" s="31"/>
      <c r="I210" s="31"/>
      <c r="J210" s="31"/>
      <c r="K210" s="31"/>
      <c r="L210" s="31"/>
      <c r="M210" s="31"/>
      <c r="N210" s="31"/>
      <c r="O210" s="31"/>
      <c r="P210" s="31"/>
      <c r="Q210" s="31"/>
      <c r="R210" s="31"/>
      <c r="S210" s="31"/>
      <c r="T210" s="31"/>
      <c r="U210" s="31"/>
      <c r="V210" s="31"/>
      <c r="W210" s="31"/>
      <c r="X210" s="31"/>
      <c r="Y210" s="31"/>
      <c r="Z210" s="31"/>
    </row>
    <row r="211" spans="1:26" ht="13.5" customHeight="1">
      <c r="A211" s="31"/>
      <c r="B211" s="31"/>
      <c r="C211" s="44"/>
      <c r="D211" s="31"/>
      <c r="E211" s="30"/>
      <c r="F211" s="31"/>
      <c r="G211" s="31"/>
      <c r="H211" s="31"/>
      <c r="I211" s="31"/>
      <c r="J211" s="31"/>
      <c r="K211" s="31"/>
      <c r="L211" s="31"/>
      <c r="M211" s="31"/>
      <c r="N211" s="31"/>
      <c r="O211" s="31"/>
      <c r="P211" s="31"/>
      <c r="Q211" s="31"/>
      <c r="R211" s="31"/>
      <c r="S211" s="31"/>
      <c r="T211" s="31"/>
      <c r="U211" s="31"/>
      <c r="V211" s="31"/>
      <c r="W211" s="31"/>
      <c r="X211" s="31"/>
      <c r="Y211" s="31"/>
      <c r="Z211" s="31"/>
    </row>
    <row r="212" spans="1:26" ht="13.5" customHeight="1">
      <c r="A212" s="31"/>
      <c r="B212" s="31"/>
      <c r="C212" s="44"/>
      <c r="D212" s="31"/>
      <c r="E212" s="30"/>
      <c r="F212" s="31"/>
      <c r="G212" s="31"/>
      <c r="H212" s="31"/>
      <c r="I212" s="31"/>
      <c r="J212" s="31"/>
      <c r="K212" s="31"/>
      <c r="L212" s="31"/>
      <c r="M212" s="31"/>
      <c r="N212" s="31"/>
      <c r="O212" s="31"/>
      <c r="P212" s="31"/>
      <c r="Q212" s="31"/>
      <c r="R212" s="31"/>
      <c r="S212" s="31"/>
      <c r="T212" s="31"/>
      <c r="U212" s="31"/>
      <c r="V212" s="31"/>
      <c r="W212" s="31"/>
      <c r="X212" s="31"/>
      <c r="Y212" s="31"/>
      <c r="Z212" s="31"/>
    </row>
    <row r="213" spans="1:26" ht="13.5" customHeight="1">
      <c r="A213" s="31"/>
      <c r="B213" s="31"/>
      <c r="C213" s="44"/>
      <c r="D213" s="31"/>
      <c r="E213" s="30"/>
      <c r="F213" s="31"/>
      <c r="G213" s="31"/>
      <c r="H213" s="31"/>
      <c r="I213" s="31"/>
      <c r="J213" s="31"/>
      <c r="K213" s="31"/>
      <c r="L213" s="31"/>
      <c r="M213" s="31"/>
      <c r="N213" s="31"/>
      <c r="O213" s="31"/>
      <c r="P213" s="31"/>
      <c r="Q213" s="31"/>
      <c r="R213" s="31"/>
      <c r="S213" s="31"/>
      <c r="T213" s="31"/>
      <c r="U213" s="31"/>
      <c r="V213" s="31"/>
      <c r="W213" s="31"/>
      <c r="X213" s="31"/>
      <c r="Y213" s="31"/>
      <c r="Z213" s="31"/>
    </row>
    <row r="214" spans="1:26" ht="13.5" customHeight="1">
      <c r="A214" s="31"/>
      <c r="B214" s="31"/>
      <c r="C214" s="44"/>
      <c r="D214" s="31"/>
      <c r="E214" s="30"/>
      <c r="F214" s="31"/>
      <c r="G214" s="31"/>
      <c r="H214" s="31"/>
      <c r="I214" s="31"/>
      <c r="J214" s="31"/>
      <c r="K214" s="31"/>
      <c r="L214" s="31"/>
      <c r="M214" s="31"/>
      <c r="N214" s="31"/>
      <c r="O214" s="31"/>
      <c r="P214" s="31"/>
      <c r="Q214" s="31"/>
      <c r="R214" s="31"/>
      <c r="S214" s="31"/>
      <c r="T214" s="31"/>
      <c r="U214" s="31"/>
      <c r="V214" s="31"/>
      <c r="W214" s="31"/>
      <c r="X214" s="31"/>
      <c r="Y214" s="31"/>
      <c r="Z214" s="31"/>
    </row>
    <row r="215" spans="1:26" ht="13.5" customHeight="1">
      <c r="A215" s="31"/>
      <c r="B215" s="31"/>
      <c r="C215" s="44"/>
      <c r="D215" s="31"/>
      <c r="E215" s="30"/>
      <c r="F215" s="31"/>
      <c r="G215" s="31"/>
      <c r="H215" s="31"/>
      <c r="I215" s="31"/>
      <c r="J215" s="31"/>
      <c r="K215" s="31"/>
      <c r="L215" s="31"/>
      <c r="M215" s="31"/>
      <c r="N215" s="31"/>
      <c r="O215" s="31"/>
      <c r="P215" s="31"/>
      <c r="Q215" s="31"/>
      <c r="R215" s="31"/>
      <c r="S215" s="31"/>
      <c r="T215" s="31"/>
      <c r="U215" s="31"/>
      <c r="V215" s="31"/>
      <c r="W215" s="31"/>
      <c r="X215" s="31"/>
      <c r="Y215" s="31"/>
      <c r="Z215" s="31"/>
    </row>
    <row r="216" spans="1:26" ht="13.5" customHeight="1">
      <c r="A216" s="31"/>
      <c r="B216" s="31"/>
      <c r="C216" s="44"/>
      <c r="D216" s="31"/>
      <c r="E216" s="30"/>
      <c r="F216" s="31"/>
      <c r="G216" s="31"/>
      <c r="H216" s="31"/>
      <c r="I216" s="31"/>
      <c r="J216" s="31"/>
      <c r="K216" s="31"/>
      <c r="L216" s="31"/>
      <c r="M216" s="31"/>
      <c r="N216" s="31"/>
      <c r="O216" s="31"/>
      <c r="P216" s="31"/>
      <c r="Q216" s="31"/>
      <c r="R216" s="31"/>
      <c r="S216" s="31"/>
      <c r="T216" s="31"/>
      <c r="U216" s="31"/>
      <c r="V216" s="31"/>
      <c r="W216" s="31"/>
      <c r="X216" s="31"/>
      <c r="Y216" s="31"/>
      <c r="Z216" s="31"/>
    </row>
    <row r="217" spans="1:26" ht="13.5" customHeight="1">
      <c r="A217" s="31"/>
      <c r="B217" s="31"/>
      <c r="C217" s="44"/>
      <c r="D217" s="31"/>
      <c r="E217" s="30"/>
      <c r="F217" s="31"/>
      <c r="G217" s="31"/>
      <c r="H217" s="31"/>
      <c r="I217" s="31"/>
      <c r="J217" s="31"/>
      <c r="K217" s="31"/>
      <c r="L217" s="31"/>
      <c r="M217" s="31"/>
      <c r="N217" s="31"/>
      <c r="O217" s="31"/>
      <c r="P217" s="31"/>
      <c r="Q217" s="31"/>
      <c r="R217" s="31"/>
      <c r="S217" s="31"/>
      <c r="T217" s="31"/>
      <c r="U217" s="31"/>
      <c r="V217" s="31"/>
      <c r="W217" s="31"/>
      <c r="X217" s="31"/>
      <c r="Y217" s="31"/>
      <c r="Z217" s="31"/>
    </row>
    <row r="218" spans="1:26" ht="13.5" customHeight="1">
      <c r="A218" s="31"/>
      <c r="B218" s="31"/>
      <c r="C218" s="44"/>
      <c r="D218" s="31"/>
      <c r="E218" s="30"/>
      <c r="F218" s="31"/>
      <c r="G218" s="31"/>
      <c r="H218" s="31"/>
      <c r="I218" s="31"/>
      <c r="J218" s="31"/>
      <c r="K218" s="31"/>
      <c r="L218" s="31"/>
      <c r="M218" s="31"/>
      <c r="N218" s="31"/>
      <c r="O218" s="31"/>
      <c r="P218" s="31"/>
      <c r="Q218" s="31"/>
      <c r="R218" s="31"/>
      <c r="S218" s="31"/>
      <c r="T218" s="31"/>
      <c r="U218" s="31"/>
      <c r="V218" s="31"/>
      <c r="W218" s="31"/>
      <c r="X218" s="31"/>
      <c r="Y218" s="31"/>
      <c r="Z218" s="31"/>
    </row>
    <row r="219" spans="1:26" ht="13.5" customHeight="1">
      <c r="A219" s="31"/>
      <c r="B219" s="31"/>
      <c r="C219" s="44"/>
      <c r="D219" s="31"/>
      <c r="E219" s="30"/>
      <c r="F219" s="31"/>
      <c r="G219" s="31"/>
      <c r="H219" s="31"/>
      <c r="I219" s="31"/>
      <c r="J219" s="31"/>
      <c r="K219" s="31"/>
      <c r="L219" s="31"/>
      <c r="M219" s="31"/>
      <c r="N219" s="31"/>
      <c r="O219" s="31"/>
      <c r="P219" s="31"/>
      <c r="Q219" s="31"/>
      <c r="R219" s="31"/>
      <c r="S219" s="31"/>
      <c r="T219" s="31"/>
      <c r="U219" s="31"/>
      <c r="V219" s="31"/>
      <c r="W219" s="31"/>
      <c r="X219" s="31"/>
      <c r="Y219" s="31"/>
      <c r="Z219" s="31"/>
    </row>
    <row r="220" spans="1:26" ht="13.5" customHeight="1">
      <c r="A220" s="31"/>
      <c r="B220" s="31"/>
      <c r="C220" s="44"/>
      <c r="D220" s="31"/>
      <c r="E220" s="30"/>
      <c r="F220" s="31"/>
      <c r="G220" s="31"/>
      <c r="H220" s="31"/>
      <c r="I220" s="31"/>
      <c r="J220" s="31"/>
      <c r="K220" s="31"/>
      <c r="L220" s="31"/>
      <c r="M220" s="31"/>
      <c r="N220" s="31"/>
      <c r="O220" s="31"/>
      <c r="P220" s="31"/>
      <c r="Q220" s="31"/>
      <c r="R220" s="31"/>
      <c r="S220" s="31"/>
      <c r="T220" s="31"/>
      <c r="U220" s="31"/>
      <c r="V220" s="31"/>
      <c r="W220" s="31"/>
      <c r="X220" s="31"/>
      <c r="Y220" s="31"/>
      <c r="Z220" s="31"/>
    </row>
    <row r="221" spans="1:26" ht="13.5" customHeight="1">
      <c r="A221" s="31"/>
      <c r="B221" s="31"/>
      <c r="C221" s="44"/>
      <c r="D221" s="31"/>
      <c r="E221" s="30"/>
      <c r="F221" s="31"/>
      <c r="G221" s="31"/>
      <c r="H221" s="31"/>
      <c r="I221" s="31"/>
      <c r="J221" s="31"/>
      <c r="K221" s="31"/>
      <c r="L221" s="31"/>
      <c r="M221" s="31"/>
      <c r="N221" s="31"/>
      <c r="O221" s="31"/>
      <c r="P221" s="31"/>
      <c r="Q221" s="31"/>
      <c r="R221" s="31"/>
      <c r="S221" s="31"/>
      <c r="T221" s="31"/>
      <c r="U221" s="31"/>
      <c r="V221" s="31"/>
      <c r="W221" s="31"/>
      <c r="X221" s="31"/>
      <c r="Y221" s="31"/>
      <c r="Z221" s="31"/>
    </row>
    <row r="222" spans="1:26" ht="13.5" customHeight="1">
      <c r="A222" s="31"/>
      <c r="B222" s="31"/>
      <c r="C222" s="44"/>
      <c r="D222" s="31"/>
      <c r="E222" s="30"/>
      <c r="F222" s="31"/>
      <c r="G222" s="31"/>
      <c r="H222" s="31"/>
      <c r="I222" s="31"/>
      <c r="J222" s="31"/>
      <c r="K222" s="31"/>
      <c r="L222" s="31"/>
      <c r="M222" s="31"/>
      <c r="N222" s="31"/>
      <c r="O222" s="31"/>
      <c r="P222" s="31"/>
      <c r="Q222" s="31"/>
      <c r="R222" s="31"/>
      <c r="S222" s="31"/>
      <c r="T222" s="31"/>
      <c r="U222" s="31"/>
      <c r="V222" s="31"/>
      <c r="W222" s="31"/>
      <c r="X222" s="31"/>
      <c r="Y222" s="31"/>
      <c r="Z222" s="31"/>
    </row>
    <row r="223" spans="1:26" ht="13.5" customHeight="1">
      <c r="A223" s="31"/>
      <c r="B223" s="31"/>
      <c r="C223" s="44"/>
      <c r="D223" s="31"/>
      <c r="E223" s="30"/>
      <c r="F223" s="31"/>
      <c r="G223" s="31"/>
      <c r="H223" s="31"/>
      <c r="I223" s="31"/>
      <c r="J223" s="31"/>
      <c r="K223" s="31"/>
      <c r="L223" s="31"/>
      <c r="M223" s="31"/>
      <c r="N223" s="31"/>
      <c r="O223" s="31"/>
      <c r="P223" s="31"/>
      <c r="Q223" s="31"/>
      <c r="R223" s="31"/>
      <c r="S223" s="31"/>
      <c r="T223" s="31"/>
      <c r="U223" s="31"/>
      <c r="V223" s="31"/>
      <c r="W223" s="31"/>
      <c r="X223" s="31"/>
      <c r="Y223" s="31"/>
      <c r="Z223" s="31"/>
    </row>
    <row r="224" spans="1:26" ht="13.5" customHeight="1">
      <c r="A224" s="31"/>
      <c r="B224" s="31"/>
      <c r="C224" s="44"/>
      <c r="D224" s="31"/>
      <c r="E224" s="30"/>
      <c r="F224" s="31"/>
      <c r="G224" s="31"/>
      <c r="H224" s="31"/>
      <c r="I224" s="31"/>
      <c r="J224" s="31"/>
      <c r="K224" s="31"/>
      <c r="L224" s="31"/>
      <c r="M224" s="31"/>
      <c r="N224" s="31"/>
      <c r="O224" s="31"/>
      <c r="P224" s="31"/>
      <c r="Q224" s="31"/>
      <c r="R224" s="31"/>
      <c r="S224" s="31"/>
      <c r="T224" s="31"/>
      <c r="U224" s="31"/>
      <c r="V224" s="31"/>
      <c r="W224" s="31"/>
      <c r="X224" s="31"/>
      <c r="Y224" s="31"/>
      <c r="Z224" s="31"/>
    </row>
    <row r="225" spans="1:26" ht="13.5" customHeight="1">
      <c r="A225" s="31"/>
      <c r="B225" s="31"/>
      <c r="C225" s="44"/>
      <c r="D225" s="31"/>
      <c r="E225" s="30"/>
      <c r="F225" s="31"/>
      <c r="G225" s="31"/>
      <c r="H225" s="31"/>
      <c r="I225" s="31"/>
      <c r="J225" s="31"/>
      <c r="K225" s="31"/>
      <c r="L225" s="31"/>
      <c r="M225" s="31"/>
      <c r="N225" s="31"/>
      <c r="O225" s="31"/>
      <c r="P225" s="31"/>
      <c r="Q225" s="31"/>
      <c r="R225" s="31"/>
      <c r="S225" s="31"/>
      <c r="T225" s="31"/>
      <c r="U225" s="31"/>
      <c r="V225" s="31"/>
      <c r="W225" s="31"/>
      <c r="X225" s="31"/>
      <c r="Y225" s="31"/>
      <c r="Z225" s="31"/>
    </row>
    <row r="226" spans="1:26" ht="13.5" customHeight="1">
      <c r="A226" s="31"/>
      <c r="B226" s="31"/>
      <c r="C226" s="44"/>
      <c r="D226" s="31"/>
      <c r="E226" s="30"/>
      <c r="F226" s="31"/>
      <c r="G226" s="31"/>
      <c r="H226" s="31"/>
      <c r="I226" s="31"/>
      <c r="J226" s="31"/>
      <c r="K226" s="31"/>
      <c r="L226" s="31"/>
      <c r="M226" s="31"/>
      <c r="N226" s="31"/>
      <c r="O226" s="31"/>
      <c r="P226" s="31"/>
      <c r="Q226" s="31"/>
      <c r="R226" s="31"/>
      <c r="S226" s="31"/>
      <c r="T226" s="31"/>
      <c r="U226" s="31"/>
      <c r="V226" s="31"/>
      <c r="W226" s="31"/>
      <c r="X226" s="31"/>
      <c r="Y226" s="31"/>
      <c r="Z226" s="31"/>
    </row>
    <row r="227" spans="1:26" ht="13.5" customHeight="1">
      <c r="A227" s="31"/>
      <c r="B227" s="31"/>
      <c r="C227" s="44"/>
      <c r="D227" s="31"/>
      <c r="E227" s="30"/>
      <c r="F227" s="31"/>
      <c r="G227" s="31"/>
      <c r="H227" s="31"/>
      <c r="I227" s="31"/>
      <c r="J227" s="31"/>
      <c r="K227" s="31"/>
      <c r="L227" s="31"/>
      <c r="M227" s="31"/>
      <c r="N227" s="31"/>
      <c r="O227" s="31"/>
      <c r="P227" s="31"/>
      <c r="Q227" s="31"/>
      <c r="R227" s="31"/>
      <c r="S227" s="31"/>
      <c r="T227" s="31"/>
      <c r="U227" s="31"/>
      <c r="V227" s="31"/>
      <c r="W227" s="31"/>
      <c r="X227" s="31"/>
      <c r="Y227" s="31"/>
      <c r="Z227" s="31"/>
    </row>
    <row r="228" spans="1:26" ht="13.5" customHeight="1">
      <c r="A228" s="31"/>
      <c r="B228" s="31"/>
      <c r="C228" s="44"/>
      <c r="D228" s="31"/>
      <c r="E228" s="30"/>
      <c r="F228" s="31"/>
      <c r="G228" s="31"/>
      <c r="H228" s="31"/>
      <c r="I228" s="31"/>
      <c r="J228" s="31"/>
      <c r="K228" s="31"/>
      <c r="L228" s="31"/>
      <c r="M228" s="31"/>
      <c r="N228" s="31"/>
      <c r="O228" s="31"/>
      <c r="P228" s="31"/>
      <c r="Q228" s="31"/>
      <c r="R228" s="31"/>
      <c r="S228" s="31"/>
      <c r="T228" s="31"/>
      <c r="U228" s="31"/>
      <c r="V228" s="31"/>
      <c r="W228" s="31"/>
      <c r="X228" s="31"/>
      <c r="Y228" s="31"/>
      <c r="Z228" s="31"/>
    </row>
    <row r="229" spans="1:26" ht="13.5" customHeight="1">
      <c r="A229" s="31"/>
      <c r="B229" s="31"/>
      <c r="C229" s="44"/>
      <c r="D229" s="31"/>
      <c r="E229" s="30"/>
      <c r="F229" s="31"/>
      <c r="G229" s="31"/>
      <c r="H229" s="31"/>
      <c r="I229" s="31"/>
      <c r="J229" s="31"/>
      <c r="K229" s="31"/>
      <c r="L229" s="31"/>
      <c r="M229" s="31"/>
      <c r="N229" s="31"/>
      <c r="O229" s="31"/>
      <c r="P229" s="31"/>
      <c r="Q229" s="31"/>
      <c r="R229" s="31"/>
      <c r="S229" s="31"/>
      <c r="T229" s="31"/>
      <c r="U229" s="31"/>
      <c r="V229" s="31"/>
      <c r="W229" s="31"/>
      <c r="X229" s="31"/>
      <c r="Y229" s="31"/>
      <c r="Z229" s="31"/>
    </row>
    <row r="230" spans="1:26" ht="13.5" customHeight="1">
      <c r="A230" s="31"/>
      <c r="B230" s="31"/>
      <c r="C230" s="44"/>
      <c r="D230" s="31"/>
      <c r="E230" s="30"/>
      <c r="F230" s="31"/>
      <c r="G230" s="31"/>
      <c r="H230" s="31"/>
      <c r="I230" s="31"/>
      <c r="J230" s="31"/>
      <c r="K230" s="31"/>
      <c r="L230" s="31"/>
      <c r="M230" s="31"/>
      <c r="N230" s="31"/>
      <c r="O230" s="31"/>
      <c r="P230" s="31"/>
      <c r="Q230" s="31"/>
      <c r="R230" s="31"/>
      <c r="S230" s="31"/>
      <c r="T230" s="31"/>
      <c r="U230" s="31"/>
      <c r="V230" s="31"/>
      <c r="W230" s="31"/>
      <c r="X230" s="31"/>
      <c r="Y230" s="31"/>
      <c r="Z230" s="31"/>
    </row>
    <row r="231" spans="1:26" ht="13.5" customHeight="1">
      <c r="A231" s="31"/>
      <c r="B231" s="31"/>
      <c r="C231" s="44"/>
      <c r="D231" s="31"/>
      <c r="E231" s="30"/>
      <c r="F231" s="31"/>
      <c r="G231" s="31"/>
      <c r="H231" s="31"/>
      <c r="I231" s="31"/>
      <c r="J231" s="31"/>
      <c r="K231" s="31"/>
      <c r="L231" s="31"/>
      <c r="M231" s="31"/>
      <c r="N231" s="31"/>
      <c r="O231" s="31"/>
      <c r="P231" s="31"/>
      <c r="Q231" s="31"/>
      <c r="R231" s="31"/>
      <c r="S231" s="31"/>
      <c r="T231" s="31"/>
      <c r="U231" s="31"/>
      <c r="V231" s="31"/>
      <c r="W231" s="31"/>
      <c r="X231" s="31"/>
      <c r="Y231" s="31"/>
      <c r="Z231" s="31"/>
    </row>
    <row r="232" spans="1:26" ht="13.5" customHeight="1">
      <c r="A232" s="31"/>
      <c r="B232" s="31"/>
      <c r="C232" s="44"/>
      <c r="D232" s="31"/>
      <c r="E232" s="30"/>
      <c r="F232" s="31"/>
      <c r="G232" s="31"/>
      <c r="H232" s="31"/>
      <c r="I232" s="31"/>
      <c r="J232" s="31"/>
      <c r="K232" s="31"/>
      <c r="L232" s="31"/>
      <c r="M232" s="31"/>
      <c r="N232" s="31"/>
      <c r="O232" s="31"/>
      <c r="P232" s="31"/>
      <c r="Q232" s="31"/>
      <c r="R232" s="31"/>
      <c r="S232" s="31"/>
      <c r="T232" s="31"/>
      <c r="U232" s="31"/>
      <c r="V232" s="31"/>
      <c r="W232" s="31"/>
      <c r="X232" s="31"/>
      <c r="Y232" s="31"/>
      <c r="Z232" s="31"/>
    </row>
    <row r="233" spans="1:26" ht="13.5" customHeight="1">
      <c r="A233" s="31"/>
      <c r="B233" s="31"/>
      <c r="C233" s="44"/>
      <c r="D233" s="31"/>
      <c r="E233" s="30"/>
      <c r="F233" s="31"/>
      <c r="G233" s="31"/>
      <c r="H233" s="31"/>
      <c r="I233" s="31"/>
      <c r="J233" s="31"/>
      <c r="K233" s="31"/>
      <c r="L233" s="31"/>
      <c r="M233" s="31"/>
      <c r="N233" s="31"/>
      <c r="O233" s="31"/>
      <c r="P233" s="31"/>
      <c r="Q233" s="31"/>
      <c r="R233" s="31"/>
      <c r="S233" s="31"/>
      <c r="T233" s="31"/>
      <c r="U233" s="31"/>
      <c r="V233" s="31"/>
      <c r="W233" s="31"/>
      <c r="X233" s="31"/>
      <c r="Y233" s="31"/>
      <c r="Z233" s="31"/>
    </row>
    <row r="234" spans="1:26" ht="13.5" customHeight="1">
      <c r="A234" s="31"/>
      <c r="B234" s="31"/>
      <c r="C234" s="44"/>
      <c r="D234" s="31"/>
      <c r="E234" s="30"/>
      <c r="F234" s="31"/>
      <c r="G234" s="31"/>
      <c r="H234" s="31"/>
      <c r="I234" s="31"/>
      <c r="J234" s="31"/>
      <c r="K234" s="31"/>
      <c r="L234" s="31"/>
      <c r="M234" s="31"/>
      <c r="N234" s="31"/>
      <c r="O234" s="31"/>
      <c r="P234" s="31"/>
      <c r="Q234" s="31"/>
      <c r="R234" s="31"/>
      <c r="S234" s="31"/>
      <c r="T234" s="31"/>
      <c r="U234" s="31"/>
      <c r="V234" s="31"/>
      <c r="W234" s="31"/>
      <c r="X234" s="31"/>
      <c r="Y234" s="31"/>
      <c r="Z234" s="31"/>
    </row>
    <row r="235" spans="1:26" ht="13.5" customHeight="1">
      <c r="A235" s="31"/>
      <c r="B235" s="31"/>
      <c r="C235" s="44"/>
      <c r="D235" s="31"/>
      <c r="E235" s="30"/>
      <c r="F235" s="31"/>
      <c r="G235" s="31"/>
      <c r="H235" s="31"/>
      <c r="I235" s="31"/>
      <c r="J235" s="31"/>
      <c r="K235" s="31"/>
      <c r="L235" s="31"/>
      <c r="M235" s="31"/>
      <c r="N235" s="31"/>
      <c r="O235" s="31"/>
      <c r="P235" s="31"/>
      <c r="Q235" s="31"/>
      <c r="R235" s="31"/>
      <c r="S235" s="31"/>
      <c r="T235" s="31"/>
      <c r="U235" s="31"/>
      <c r="V235" s="31"/>
      <c r="W235" s="31"/>
      <c r="X235" s="31"/>
      <c r="Y235" s="31"/>
      <c r="Z235" s="31"/>
    </row>
    <row r="236" spans="1:26" ht="13.5" customHeight="1">
      <c r="A236" s="31"/>
      <c r="B236" s="31"/>
      <c r="C236" s="44"/>
      <c r="D236" s="31"/>
      <c r="E236" s="30"/>
      <c r="F236" s="31"/>
      <c r="G236" s="31"/>
      <c r="H236" s="31"/>
      <c r="I236" s="31"/>
      <c r="J236" s="31"/>
      <c r="K236" s="31"/>
      <c r="L236" s="31"/>
      <c r="M236" s="31"/>
      <c r="N236" s="31"/>
      <c r="O236" s="31"/>
      <c r="P236" s="31"/>
      <c r="Q236" s="31"/>
      <c r="R236" s="31"/>
      <c r="S236" s="31"/>
      <c r="T236" s="31"/>
      <c r="U236" s="31"/>
      <c r="V236" s="31"/>
      <c r="W236" s="31"/>
      <c r="X236" s="31"/>
      <c r="Y236" s="31"/>
      <c r="Z236" s="31"/>
    </row>
    <row r="237" spans="1:26" ht="13.5" customHeight="1">
      <c r="A237" s="31"/>
      <c r="B237" s="31"/>
      <c r="C237" s="44"/>
      <c r="D237" s="31"/>
      <c r="E237" s="30"/>
      <c r="F237" s="31"/>
      <c r="G237" s="31"/>
      <c r="H237" s="31"/>
      <c r="I237" s="31"/>
      <c r="J237" s="31"/>
      <c r="K237" s="31"/>
      <c r="L237" s="31"/>
      <c r="M237" s="31"/>
      <c r="N237" s="31"/>
      <c r="O237" s="31"/>
      <c r="P237" s="31"/>
      <c r="Q237" s="31"/>
      <c r="R237" s="31"/>
      <c r="S237" s="31"/>
      <c r="T237" s="31"/>
      <c r="U237" s="31"/>
      <c r="V237" s="31"/>
      <c r="W237" s="31"/>
      <c r="X237" s="31"/>
      <c r="Y237" s="31"/>
      <c r="Z237" s="31"/>
    </row>
    <row r="238" spans="1:26" ht="13.5" customHeight="1">
      <c r="A238" s="31"/>
      <c r="B238" s="31"/>
      <c r="C238" s="44"/>
      <c r="D238" s="31"/>
      <c r="E238" s="30"/>
      <c r="F238" s="31"/>
      <c r="G238" s="31"/>
      <c r="H238" s="31"/>
      <c r="I238" s="31"/>
      <c r="J238" s="31"/>
      <c r="K238" s="31"/>
      <c r="L238" s="31"/>
      <c r="M238" s="31"/>
      <c r="N238" s="31"/>
      <c r="O238" s="31"/>
      <c r="P238" s="31"/>
      <c r="Q238" s="31"/>
      <c r="R238" s="31"/>
      <c r="S238" s="31"/>
      <c r="T238" s="31"/>
      <c r="U238" s="31"/>
      <c r="V238" s="31"/>
      <c r="W238" s="31"/>
      <c r="X238" s="31"/>
      <c r="Y238" s="31"/>
      <c r="Z238" s="31"/>
    </row>
    <row r="239" spans="1:26" ht="13.5" customHeight="1">
      <c r="A239" s="31"/>
      <c r="B239" s="31"/>
      <c r="C239" s="44"/>
      <c r="D239" s="31"/>
      <c r="E239" s="30"/>
      <c r="F239" s="31"/>
      <c r="G239" s="31"/>
      <c r="H239" s="31"/>
      <c r="I239" s="31"/>
      <c r="J239" s="31"/>
      <c r="K239" s="31"/>
      <c r="L239" s="31"/>
      <c r="M239" s="31"/>
      <c r="N239" s="31"/>
      <c r="O239" s="31"/>
      <c r="P239" s="31"/>
      <c r="Q239" s="31"/>
      <c r="R239" s="31"/>
      <c r="S239" s="31"/>
      <c r="T239" s="31"/>
      <c r="U239" s="31"/>
      <c r="V239" s="31"/>
      <c r="W239" s="31"/>
      <c r="X239" s="31"/>
      <c r="Y239" s="31"/>
      <c r="Z239" s="31"/>
    </row>
    <row r="240" spans="1:26" ht="13.5" customHeight="1">
      <c r="A240" s="31"/>
      <c r="B240" s="31"/>
      <c r="C240" s="44"/>
      <c r="D240" s="31"/>
      <c r="E240" s="30"/>
      <c r="F240" s="31"/>
      <c r="G240" s="31"/>
      <c r="H240" s="31"/>
      <c r="I240" s="31"/>
      <c r="J240" s="31"/>
      <c r="K240" s="31"/>
      <c r="L240" s="31"/>
      <c r="M240" s="31"/>
      <c r="N240" s="31"/>
      <c r="O240" s="31"/>
      <c r="P240" s="31"/>
      <c r="Q240" s="31"/>
      <c r="R240" s="31"/>
      <c r="S240" s="31"/>
      <c r="T240" s="31"/>
      <c r="U240" s="31"/>
      <c r="V240" s="31"/>
      <c r="W240" s="31"/>
      <c r="X240" s="31"/>
      <c r="Y240" s="31"/>
      <c r="Z240" s="31"/>
    </row>
    <row r="241" spans="1:26" ht="13.5" customHeight="1">
      <c r="A241" s="31"/>
      <c r="B241" s="31"/>
      <c r="C241" s="44"/>
      <c r="D241" s="31"/>
      <c r="E241" s="30"/>
      <c r="F241" s="31"/>
      <c r="G241" s="31"/>
      <c r="H241" s="31"/>
      <c r="I241" s="31"/>
      <c r="J241" s="31"/>
      <c r="K241" s="31"/>
      <c r="L241" s="31"/>
      <c r="M241" s="31"/>
      <c r="N241" s="31"/>
      <c r="O241" s="31"/>
      <c r="P241" s="31"/>
      <c r="Q241" s="31"/>
      <c r="R241" s="31"/>
      <c r="S241" s="31"/>
      <c r="T241" s="31"/>
      <c r="U241" s="31"/>
      <c r="V241" s="31"/>
      <c r="W241" s="31"/>
      <c r="X241" s="31"/>
      <c r="Y241" s="31"/>
      <c r="Z241" s="31"/>
    </row>
    <row r="242" spans="1:26" ht="13.5" customHeight="1">
      <c r="A242" s="31"/>
      <c r="B242" s="31"/>
      <c r="C242" s="44"/>
      <c r="D242" s="31"/>
      <c r="E242" s="30"/>
      <c r="F242" s="31"/>
      <c r="G242" s="31"/>
      <c r="H242" s="31"/>
      <c r="I242" s="31"/>
      <c r="J242" s="31"/>
      <c r="K242" s="31"/>
      <c r="L242" s="31"/>
      <c r="M242" s="31"/>
      <c r="N242" s="31"/>
      <c r="O242" s="31"/>
      <c r="P242" s="31"/>
      <c r="Q242" s="31"/>
      <c r="R242" s="31"/>
      <c r="S242" s="31"/>
      <c r="T242" s="31"/>
      <c r="U242" s="31"/>
      <c r="V242" s="31"/>
      <c r="W242" s="31"/>
      <c r="X242" s="31"/>
      <c r="Y242" s="31"/>
      <c r="Z242" s="31"/>
    </row>
    <row r="243" spans="1:26" ht="13.5" customHeight="1">
      <c r="A243" s="31"/>
      <c r="B243" s="31"/>
      <c r="C243" s="44"/>
      <c r="D243" s="31"/>
      <c r="E243" s="30"/>
      <c r="F243" s="31"/>
      <c r="G243" s="31"/>
      <c r="H243" s="31"/>
      <c r="I243" s="31"/>
      <c r="J243" s="31"/>
      <c r="K243" s="31"/>
      <c r="L243" s="31"/>
      <c r="M243" s="31"/>
      <c r="N243" s="31"/>
      <c r="O243" s="31"/>
      <c r="P243" s="31"/>
      <c r="Q243" s="31"/>
      <c r="R243" s="31"/>
      <c r="S243" s="31"/>
      <c r="T243" s="31"/>
      <c r="U243" s="31"/>
      <c r="V243" s="31"/>
      <c r="W243" s="31"/>
      <c r="X243" s="31"/>
      <c r="Y243" s="31"/>
      <c r="Z243" s="31"/>
    </row>
    <row r="244" spans="1:26" ht="13.5" customHeight="1">
      <c r="A244" s="31"/>
      <c r="B244" s="31"/>
      <c r="C244" s="44"/>
      <c r="D244" s="31"/>
      <c r="E244" s="30"/>
      <c r="F244" s="31"/>
      <c r="G244" s="31"/>
      <c r="H244" s="31"/>
      <c r="I244" s="31"/>
      <c r="J244" s="31"/>
      <c r="K244" s="31"/>
      <c r="L244" s="31"/>
      <c r="M244" s="31"/>
      <c r="N244" s="31"/>
      <c r="O244" s="31"/>
      <c r="P244" s="31"/>
      <c r="Q244" s="31"/>
      <c r="R244" s="31"/>
      <c r="S244" s="31"/>
      <c r="T244" s="31"/>
      <c r="U244" s="31"/>
      <c r="V244" s="31"/>
      <c r="W244" s="31"/>
      <c r="X244" s="31"/>
      <c r="Y244" s="31"/>
      <c r="Z244" s="31"/>
    </row>
    <row r="245" spans="1:26" ht="13.5" customHeight="1">
      <c r="A245" s="31"/>
      <c r="B245" s="31"/>
      <c r="C245" s="44"/>
      <c r="D245" s="31"/>
      <c r="E245" s="30"/>
      <c r="F245" s="31"/>
      <c r="G245" s="31"/>
      <c r="H245" s="31"/>
      <c r="I245" s="31"/>
      <c r="J245" s="31"/>
      <c r="K245" s="31"/>
      <c r="L245" s="31"/>
      <c r="M245" s="31"/>
      <c r="N245" s="31"/>
      <c r="O245" s="31"/>
      <c r="P245" s="31"/>
      <c r="Q245" s="31"/>
      <c r="R245" s="31"/>
      <c r="S245" s="31"/>
      <c r="T245" s="31"/>
      <c r="U245" s="31"/>
      <c r="V245" s="31"/>
      <c r="W245" s="31"/>
      <c r="X245" s="31"/>
      <c r="Y245" s="31"/>
      <c r="Z245" s="31"/>
    </row>
    <row r="246" spans="1:26" ht="13.5" customHeight="1">
      <c r="A246" s="31"/>
      <c r="B246" s="31"/>
      <c r="C246" s="44"/>
      <c r="D246" s="31"/>
      <c r="E246" s="30"/>
      <c r="F246" s="31"/>
      <c r="G246" s="31"/>
      <c r="H246" s="31"/>
      <c r="I246" s="31"/>
      <c r="J246" s="31"/>
      <c r="K246" s="31"/>
      <c r="L246" s="31"/>
      <c r="M246" s="31"/>
      <c r="N246" s="31"/>
      <c r="O246" s="31"/>
      <c r="P246" s="31"/>
      <c r="Q246" s="31"/>
      <c r="R246" s="31"/>
      <c r="S246" s="31"/>
      <c r="T246" s="31"/>
      <c r="U246" s="31"/>
      <c r="V246" s="31"/>
      <c r="W246" s="31"/>
      <c r="X246" s="31"/>
      <c r="Y246" s="31"/>
      <c r="Z246" s="31"/>
    </row>
    <row r="247" spans="1:26" ht="13.5" customHeight="1">
      <c r="A247" s="31"/>
      <c r="B247" s="31"/>
      <c r="C247" s="44"/>
      <c r="D247" s="31"/>
      <c r="E247" s="30"/>
      <c r="F247" s="31"/>
      <c r="G247" s="31"/>
      <c r="H247" s="31"/>
      <c r="I247" s="31"/>
      <c r="J247" s="31"/>
      <c r="K247" s="31"/>
      <c r="L247" s="31"/>
      <c r="M247" s="31"/>
      <c r="N247" s="31"/>
      <c r="O247" s="31"/>
      <c r="P247" s="31"/>
      <c r="Q247" s="31"/>
      <c r="R247" s="31"/>
      <c r="S247" s="31"/>
      <c r="T247" s="31"/>
      <c r="U247" s="31"/>
      <c r="V247" s="31"/>
      <c r="W247" s="31"/>
      <c r="X247" s="31"/>
      <c r="Y247" s="31"/>
      <c r="Z247" s="31"/>
    </row>
    <row r="248" spans="1:26" ht="13.5" customHeight="1">
      <c r="A248" s="31"/>
      <c r="B248" s="31"/>
      <c r="C248" s="44"/>
      <c r="D248" s="31"/>
      <c r="E248" s="30"/>
      <c r="F248" s="31"/>
      <c r="G248" s="31"/>
      <c r="H248" s="31"/>
      <c r="I248" s="31"/>
      <c r="J248" s="31"/>
      <c r="K248" s="31"/>
      <c r="L248" s="31"/>
      <c r="M248" s="31"/>
      <c r="N248" s="31"/>
      <c r="O248" s="31"/>
      <c r="P248" s="31"/>
      <c r="Q248" s="31"/>
      <c r="R248" s="31"/>
      <c r="S248" s="31"/>
      <c r="T248" s="31"/>
      <c r="U248" s="31"/>
      <c r="V248" s="31"/>
      <c r="W248" s="31"/>
      <c r="X248" s="31"/>
      <c r="Y248" s="31"/>
      <c r="Z248" s="31"/>
    </row>
    <row r="249" spans="1:26" ht="13.5" customHeight="1">
      <c r="A249" s="31"/>
      <c r="B249" s="31"/>
      <c r="C249" s="44"/>
      <c r="D249" s="31"/>
      <c r="E249" s="30"/>
      <c r="F249" s="31"/>
      <c r="G249" s="31"/>
      <c r="H249" s="31"/>
      <c r="I249" s="31"/>
      <c r="J249" s="31"/>
      <c r="K249" s="31"/>
      <c r="L249" s="31"/>
      <c r="M249" s="31"/>
      <c r="N249" s="31"/>
      <c r="O249" s="31"/>
      <c r="P249" s="31"/>
      <c r="Q249" s="31"/>
      <c r="R249" s="31"/>
      <c r="S249" s="31"/>
      <c r="T249" s="31"/>
      <c r="U249" s="31"/>
      <c r="V249" s="31"/>
      <c r="W249" s="31"/>
      <c r="X249" s="31"/>
      <c r="Y249" s="31"/>
      <c r="Z249" s="31"/>
    </row>
    <row r="250" spans="1:26" ht="13.5" customHeight="1">
      <c r="A250" s="31"/>
      <c r="B250" s="31"/>
      <c r="C250" s="44"/>
      <c r="D250" s="31"/>
      <c r="E250" s="30"/>
      <c r="F250" s="31"/>
      <c r="G250" s="31"/>
      <c r="H250" s="31"/>
      <c r="I250" s="31"/>
      <c r="J250" s="31"/>
      <c r="K250" s="31"/>
      <c r="L250" s="31"/>
      <c r="M250" s="31"/>
      <c r="N250" s="31"/>
      <c r="O250" s="31"/>
      <c r="P250" s="31"/>
      <c r="Q250" s="31"/>
      <c r="R250" s="31"/>
      <c r="S250" s="31"/>
      <c r="T250" s="31"/>
      <c r="U250" s="31"/>
      <c r="V250" s="31"/>
      <c r="W250" s="31"/>
      <c r="X250" s="31"/>
      <c r="Y250" s="31"/>
      <c r="Z250" s="31"/>
    </row>
    <row r="251" spans="1:26" ht="13.5" customHeight="1">
      <c r="A251" s="31"/>
      <c r="B251" s="31"/>
      <c r="C251" s="44"/>
      <c r="D251" s="31"/>
      <c r="E251" s="30"/>
      <c r="F251" s="31"/>
      <c r="G251" s="31"/>
      <c r="H251" s="31"/>
      <c r="I251" s="31"/>
      <c r="J251" s="31"/>
      <c r="K251" s="31"/>
      <c r="L251" s="31"/>
      <c r="M251" s="31"/>
      <c r="N251" s="31"/>
      <c r="O251" s="31"/>
      <c r="P251" s="31"/>
      <c r="Q251" s="31"/>
      <c r="R251" s="31"/>
      <c r="S251" s="31"/>
      <c r="T251" s="31"/>
      <c r="U251" s="31"/>
      <c r="V251" s="31"/>
      <c r="W251" s="31"/>
      <c r="X251" s="31"/>
      <c r="Y251" s="31"/>
      <c r="Z251" s="31"/>
    </row>
    <row r="252" spans="1:26" ht="13.5" customHeight="1">
      <c r="A252" s="31"/>
      <c r="B252" s="31"/>
      <c r="C252" s="44"/>
      <c r="D252" s="31"/>
      <c r="E252" s="30"/>
      <c r="F252" s="31"/>
      <c r="G252" s="31"/>
      <c r="H252" s="31"/>
      <c r="I252" s="31"/>
      <c r="J252" s="31"/>
      <c r="K252" s="31"/>
      <c r="L252" s="31"/>
      <c r="M252" s="31"/>
      <c r="N252" s="31"/>
      <c r="O252" s="31"/>
      <c r="P252" s="31"/>
      <c r="Q252" s="31"/>
      <c r="R252" s="31"/>
      <c r="S252" s="31"/>
      <c r="T252" s="31"/>
      <c r="U252" s="31"/>
      <c r="V252" s="31"/>
      <c r="W252" s="31"/>
      <c r="X252" s="31"/>
      <c r="Y252" s="31"/>
      <c r="Z252" s="31"/>
    </row>
    <row r="253" spans="1:26" ht="13.5" customHeight="1">
      <c r="A253" s="31"/>
      <c r="B253" s="31"/>
      <c r="C253" s="44"/>
      <c r="D253" s="31"/>
      <c r="E253" s="30"/>
      <c r="F253" s="31"/>
      <c r="G253" s="31"/>
      <c r="H253" s="31"/>
      <c r="I253" s="31"/>
      <c r="J253" s="31"/>
      <c r="K253" s="31"/>
      <c r="L253" s="31"/>
      <c r="M253" s="31"/>
      <c r="N253" s="31"/>
      <c r="O253" s="31"/>
      <c r="P253" s="31"/>
      <c r="Q253" s="31"/>
      <c r="R253" s="31"/>
      <c r="S253" s="31"/>
      <c r="T253" s="31"/>
      <c r="U253" s="31"/>
      <c r="V253" s="31"/>
      <c r="W253" s="31"/>
      <c r="X253" s="31"/>
      <c r="Y253" s="31"/>
      <c r="Z253" s="31"/>
    </row>
    <row r="254" spans="1:26" ht="13.5" customHeight="1">
      <c r="A254" s="31"/>
      <c r="B254" s="31"/>
      <c r="C254" s="44"/>
      <c r="D254" s="31"/>
      <c r="E254" s="30"/>
      <c r="F254" s="31"/>
      <c r="G254" s="31"/>
      <c r="H254" s="31"/>
      <c r="I254" s="31"/>
      <c r="J254" s="31"/>
      <c r="K254" s="31"/>
      <c r="L254" s="31"/>
      <c r="M254" s="31"/>
      <c r="N254" s="31"/>
      <c r="O254" s="31"/>
      <c r="P254" s="31"/>
      <c r="Q254" s="31"/>
      <c r="R254" s="31"/>
      <c r="S254" s="31"/>
      <c r="T254" s="31"/>
      <c r="U254" s="31"/>
      <c r="V254" s="31"/>
      <c r="W254" s="31"/>
      <c r="X254" s="31"/>
      <c r="Y254" s="31"/>
      <c r="Z254" s="31"/>
    </row>
    <row r="255" spans="1:26" ht="13.5" customHeight="1">
      <c r="A255" s="31"/>
      <c r="B255" s="31"/>
      <c r="C255" s="44"/>
      <c r="D255" s="31"/>
      <c r="E255" s="30"/>
      <c r="F255" s="31"/>
      <c r="G255" s="31"/>
      <c r="H255" s="31"/>
      <c r="I255" s="31"/>
      <c r="J255" s="31"/>
      <c r="K255" s="31"/>
      <c r="L255" s="31"/>
      <c r="M255" s="31"/>
      <c r="N255" s="31"/>
      <c r="O255" s="31"/>
      <c r="P255" s="31"/>
      <c r="Q255" s="31"/>
      <c r="R255" s="31"/>
      <c r="S255" s="31"/>
      <c r="T255" s="31"/>
      <c r="U255" s="31"/>
      <c r="V255" s="31"/>
      <c r="W255" s="31"/>
      <c r="X255" s="31"/>
      <c r="Y255" s="31"/>
      <c r="Z255" s="31"/>
    </row>
    <row r="256" spans="1:26" ht="13.5" customHeight="1">
      <c r="A256" s="31"/>
      <c r="B256" s="31"/>
      <c r="C256" s="44"/>
      <c r="D256" s="31"/>
      <c r="E256" s="30"/>
      <c r="F256" s="31"/>
      <c r="G256" s="31"/>
      <c r="H256" s="31"/>
      <c r="I256" s="31"/>
      <c r="J256" s="31"/>
      <c r="K256" s="31"/>
      <c r="L256" s="31"/>
      <c r="M256" s="31"/>
      <c r="N256" s="31"/>
      <c r="O256" s="31"/>
      <c r="P256" s="31"/>
      <c r="Q256" s="31"/>
      <c r="R256" s="31"/>
      <c r="S256" s="31"/>
      <c r="T256" s="31"/>
      <c r="U256" s="31"/>
      <c r="V256" s="31"/>
      <c r="W256" s="31"/>
      <c r="X256" s="31"/>
      <c r="Y256" s="31"/>
      <c r="Z256" s="31"/>
    </row>
    <row r="257" spans="1:26" ht="13.5" customHeight="1">
      <c r="A257" s="31"/>
      <c r="B257" s="31"/>
      <c r="C257" s="44"/>
      <c r="D257" s="31"/>
      <c r="E257" s="30"/>
      <c r="F257" s="31"/>
      <c r="G257" s="31"/>
      <c r="H257" s="31"/>
      <c r="I257" s="31"/>
      <c r="J257" s="31"/>
      <c r="K257" s="31"/>
      <c r="L257" s="31"/>
      <c r="M257" s="31"/>
      <c r="N257" s="31"/>
      <c r="O257" s="31"/>
      <c r="P257" s="31"/>
      <c r="Q257" s="31"/>
      <c r="R257" s="31"/>
      <c r="S257" s="31"/>
      <c r="T257" s="31"/>
      <c r="U257" s="31"/>
      <c r="V257" s="31"/>
      <c r="W257" s="31"/>
      <c r="X257" s="31"/>
      <c r="Y257" s="31"/>
      <c r="Z257" s="31"/>
    </row>
    <row r="258" spans="1:26" ht="13.5" customHeight="1">
      <c r="A258" s="31"/>
      <c r="B258" s="31"/>
      <c r="C258" s="44"/>
      <c r="D258" s="31"/>
      <c r="E258" s="30"/>
      <c r="F258" s="31"/>
      <c r="G258" s="31"/>
      <c r="H258" s="31"/>
      <c r="I258" s="31"/>
      <c r="J258" s="31"/>
      <c r="K258" s="31"/>
      <c r="L258" s="31"/>
      <c r="M258" s="31"/>
      <c r="N258" s="31"/>
      <c r="O258" s="31"/>
      <c r="P258" s="31"/>
      <c r="Q258" s="31"/>
      <c r="R258" s="31"/>
      <c r="S258" s="31"/>
      <c r="T258" s="31"/>
      <c r="U258" s="31"/>
      <c r="V258" s="31"/>
      <c r="W258" s="31"/>
      <c r="X258" s="31"/>
      <c r="Y258" s="31"/>
      <c r="Z258" s="31"/>
    </row>
    <row r="259" spans="1:26" ht="13.5" customHeight="1">
      <c r="A259" s="31"/>
      <c r="B259" s="31"/>
      <c r="C259" s="44"/>
      <c r="D259" s="31"/>
      <c r="E259" s="30"/>
      <c r="F259" s="31"/>
      <c r="G259" s="31"/>
      <c r="H259" s="31"/>
      <c r="I259" s="31"/>
      <c r="J259" s="31"/>
      <c r="K259" s="31"/>
      <c r="L259" s="31"/>
      <c r="M259" s="31"/>
      <c r="N259" s="31"/>
      <c r="O259" s="31"/>
      <c r="P259" s="31"/>
      <c r="Q259" s="31"/>
      <c r="R259" s="31"/>
      <c r="S259" s="31"/>
      <c r="T259" s="31"/>
      <c r="U259" s="31"/>
      <c r="V259" s="31"/>
      <c r="W259" s="31"/>
      <c r="X259" s="31"/>
      <c r="Y259" s="31"/>
      <c r="Z259" s="31"/>
    </row>
    <row r="260" spans="1:26" ht="13.5" customHeight="1">
      <c r="A260" s="31"/>
      <c r="B260" s="31"/>
      <c r="C260" s="44"/>
      <c r="D260" s="31"/>
      <c r="E260" s="30"/>
      <c r="F260" s="31"/>
      <c r="G260" s="31"/>
      <c r="H260" s="31"/>
      <c r="I260" s="31"/>
      <c r="J260" s="31"/>
      <c r="K260" s="31"/>
      <c r="L260" s="31"/>
      <c r="M260" s="31"/>
      <c r="N260" s="31"/>
      <c r="O260" s="31"/>
      <c r="P260" s="31"/>
      <c r="Q260" s="31"/>
      <c r="R260" s="31"/>
      <c r="S260" s="31"/>
      <c r="T260" s="31"/>
      <c r="U260" s="31"/>
      <c r="V260" s="31"/>
      <c r="W260" s="31"/>
      <c r="X260" s="31"/>
      <c r="Y260" s="31"/>
      <c r="Z260" s="31"/>
    </row>
    <row r="261" spans="1:26" ht="13.5" customHeight="1">
      <c r="A261" s="31"/>
      <c r="B261" s="31"/>
      <c r="C261" s="44"/>
      <c r="D261" s="31"/>
      <c r="E261" s="30"/>
      <c r="F261" s="31"/>
      <c r="G261" s="31"/>
      <c r="H261" s="31"/>
      <c r="I261" s="31"/>
      <c r="J261" s="31"/>
      <c r="K261" s="31"/>
      <c r="L261" s="31"/>
      <c r="M261" s="31"/>
      <c r="N261" s="31"/>
      <c r="O261" s="31"/>
      <c r="P261" s="31"/>
      <c r="Q261" s="31"/>
      <c r="R261" s="31"/>
      <c r="S261" s="31"/>
      <c r="T261" s="31"/>
      <c r="U261" s="31"/>
      <c r="V261" s="31"/>
      <c r="W261" s="31"/>
      <c r="X261" s="31"/>
      <c r="Y261" s="31"/>
      <c r="Z261" s="31"/>
    </row>
    <row r="262" spans="1:26" ht="13.5" customHeight="1">
      <c r="A262" s="31"/>
      <c r="B262" s="31"/>
      <c r="C262" s="44"/>
      <c r="D262" s="31"/>
      <c r="E262" s="30"/>
      <c r="F262" s="31"/>
      <c r="G262" s="31"/>
      <c r="H262" s="31"/>
      <c r="I262" s="31"/>
      <c r="J262" s="31"/>
      <c r="K262" s="31"/>
      <c r="L262" s="31"/>
      <c r="M262" s="31"/>
      <c r="N262" s="31"/>
      <c r="O262" s="31"/>
      <c r="P262" s="31"/>
      <c r="Q262" s="31"/>
      <c r="R262" s="31"/>
      <c r="S262" s="31"/>
      <c r="T262" s="31"/>
      <c r="U262" s="31"/>
      <c r="V262" s="31"/>
      <c r="W262" s="31"/>
      <c r="X262" s="31"/>
      <c r="Y262" s="31"/>
      <c r="Z262" s="31"/>
    </row>
    <row r="263" spans="1:26" ht="13.5" customHeight="1">
      <c r="A263" s="31"/>
      <c r="B263" s="31"/>
      <c r="C263" s="44"/>
      <c r="D263" s="31"/>
      <c r="E263" s="30"/>
      <c r="F263" s="31"/>
      <c r="G263" s="31"/>
      <c r="H263" s="31"/>
      <c r="I263" s="31"/>
      <c r="J263" s="31"/>
      <c r="K263" s="31"/>
      <c r="L263" s="31"/>
      <c r="M263" s="31"/>
      <c r="N263" s="31"/>
      <c r="O263" s="31"/>
      <c r="P263" s="31"/>
      <c r="Q263" s="31"/>
      <c r="R263" s="31"/>
      <c r="S263" s="31"/>
      <c r="T263" s="31"/>
      <c r="U263" s="31"/>
      <c r="V263" s="31"/>
      <c r="W263" s="31"/>
      <c r="X263" s="31"/>
      <c r="Y263" s="31"/>
      <c r="Z263" s="31"/>
    </row>
    <row r="264" spans="1:26" ht="13.5" customHeight="1">
      <c r="A264" s="31"/>
      <c r="B264" s="31"/>
      <c r="C264" s="44"/>
      <c r="D264" s="31"/>
      <c r="E264" s="30"/>
      <c r="F264" s="31"/>
      <c r="G264" s="31"/>
      <c r="H264" s="31"/>
      <c r="I264" s="31"/>
      <c r="J264" s="31"/>
      <c r="K264" s="31"/>
      <c r="L264" s="31"/>
      <c r="M264" s="31"/>
      <c r="N264" s="31"/>
      <c r="O264" s="31"/>
      <c r="P264" s="31"/>
      <c r="Q264" s="31"/>
      <c r="R264" s="31"/>
      <c r="S264" s="31"/>
      <c r="T264" s="31"/>
      <c r="U264" s="31"/>
      <c r="V264" s="31"/>
      <c r="W264" s="31"/>
      <c r="X264" s="31"/>
      <c r="Y264" s="31"/>
      <c r="Z264" s="31"/>
    </row>
    <row r="265" spans="1:26" ht="13.5" customHeight="1">
      <c r="A265" s="31"/>
      <c r="B265" s="31"/>
      <c r="C265" s="44"/>
      <c r="D265" s="31"/>
      <c r="E265" s="30"/>
      <c r="F265" s="31"/>
      <c r="G265" s="31"/>
      <c r="H265" s="31"/>
      <c r="I265" s="31"/>
      <c r="J265" s="31"/>
      <c r="K265" s="31"/>
      <c r="L265" s="31"/>
      <c r="M265" s="31"/>
      <c r="N265" s="31"/>
      <c r="O265" s="31"/>
      <c r="P265" s="31"/>
      <c r="Q265" s="31"/>
      <c r="R265" s="31"/>
      <c r="S265" s="31"/>
      <c r="T265" s="31"/>
      <c r="U265" s="31"/>
      <c r="V265" s="31"/>
      <c r="W265" s="31"/>
      <c r="X265" s="31"/>
      <c r="Y265" s="31"/>
      <c r="Z265" s="31"/>
    </row>
    <row r="266" spans="1:26" ht="13.5" customHeight="1">
      <c r="A266" s="31"/>
      <c r="B266" s="31"/>
      <c r="C266" s="44"/>
      <c r="D266" s="31"/>
      <c r="E266" s="30"/>
      <c r="F266" s="31"/>
      <c r="G266" s="31"/>
      <c r="H266" s="31"/>
      <c r="I266" s="31"/>
      <c r="J266" s="31"/>
      <c r="K266" s="31"/>
      <c r="L266" s="31"/>
      <c r="M266" s="31"/>
      <c r="N266" s="31"/>
      <c r="O266" s="31"/>
      <c r="P266" s="31"/>
      <c r="Q266" s="31"/>
      <c r="R266" s="31"/>
      <c r="S266" s="31"/>
      <c r="T266" s="31"/>
      <c r="U266" s="31"/>
      <c r="V266" s="31"/>
      <c r="W266" s="31"/>
      <c r="X266" s="31"/>
      <c r="Y266" s="31"/>
      <c r="Z266" s="31"/>
    </row>
    <row r="267" spans="1:26" ht="13.5" customHeight="1">
      <c r="A267" s="31"/>
      <c r="B267" s="31"/>
      <c r="C267" s="44"/>
      <c r="D267" s="31"/>
      <c r="E267" s="30"/>
      <c r="F267" s="31"/>
      <c r="G267" s="31"/>
      <c r="H267" s="31"/>
      <c r="I267" s="31"/>
      <c r="J267" s="31"/>
      <c r="K267" s="31"/>
      <c r="L267" s="31"/>
      <c r="M267" s="31"/>
      <c r="N267" s="31"/>
      <c r="O267" s="31"/>
      <c r="P267" s="31"/>
      <c r="Q267" s="31"/>
      <c r="R267" s="31"/>
      <c r="S267" s="31"/>
      <c r="T267" s="31"/>
      <c r="U267" s="31"/>
      <c r="V267" s="31"/>
      <c r="W267" s="31"/>
      <c r="X267" s="31"/>
      <c r="Y267" s="31"/>
      <c r="Z267" s="31"/>
    </row>
    <row r="268" spans="1:26" ht="13.5" customHeight="1">
      <c r="A268" s="31"/>
      <c r="B268" s="31"/>
      <c r="C268" s="44"/>
      <c r="D268" s="31"/>
      <c r="E268" s="30"/>
      <c r="F268" s="31"/>
      <c r="G268" s="31"/>
      <c r="H268" s="31"/>
      <c r="I268" s="31"/>
      <c r="J268" s="31"/>
      <c r="K268" s="31"/>
      <c r="L268" s="31"/>
      <c r="M268" s="31"/>
      <c r="N268" s="31"/>
      <c r="O268" s="31"/>
      <c r="P268" s="31"/>
      <c r="Q268" s="31"/>
      <c r="R268" s="31"/>
      <c r="S268" s="31"/>
      <c r="T268" s="31"/>
      <c r="U268" s="31"/>
      <c r="V268" s="31"/>
      <c r="W268" s="31"/>
      <c r="X268" s="31"/>
      <c r="Y268" s="31"/>
      <c r="Z268" s="31"/>
    </row>
    <row r="269" spans="1:26" ht="13.5" customHeight="1">
      <c r="A269" s="31"/>
      <c r="B269" s="31"/>
      <c r="C269" s="44"/>
      <c r="D269" s="31"/>
      <c r="E269" s="30"/>
      <c r="F269" s="31"/>
      <c r="G269" s="31"/>
      <c r="H269" s="31"/>
      <c r="I269" s="31"/>
      <c r="J269" s="31"/>
      <c r="K269" s="31"/>
      <c r="L269" s="31"/>
      <c r="M269" s="31"/>
      <c r="N269" s="31"/>
      <c r="O269" s="31"/>
      <c r="P269" s="31"/>
      <c r="Q269" s="31"/>
      <c r="R269" s="31"/>
      <c r="S269" s="31"/>
      <c r="T269" s="31"/>
      <c r="U269" s="31"/>
      <c r="V269" s="31"/>
      <c r="W269" s="31"/>
      <c r="X269" s="31"/>
      <c r="Y269" s="31"/>
      <c r="Z269" s="31"/>
    </row>
    <row r="270" spans="1:26" ht="13.5" customHeight="1">
      <c r="A270" s="31"/>
      <c r="B270" s="31"/>
      <c r="C270" s="44"/>
      <c r="D270" s="31"/>
      <c r="E270" s="30"/>
      <c r="F270" s="31"/>
      <c r="G270" s="31"/>
      <c r="H270" s="31"/>
      <c r="I270" s="31"/>
      <c r="J270" s="31"/>
      <c r="K270" s="31"/>
      <c r="L270" s="31"/>
      <c r="M270" s="31"/>
      <c r="N270" s="31"/>
      <c r="O270" s="31"/>
      <c r="P270" s="31"/>
      <c r="Q270" s="31"/>
      <c r="R270" s="31"/>
      <c r="S270" s="31"/>
      <c r="T270" s="31"/>
      <c r="U270" s="31"/>
      <c r="V270" s="31"/>
      <c r="W270" s="31"/>
      <c r="X270" s="31"/>
      <c r="Y270" s="31"/>
      <c r="Z270" s="31"/>
    </row>
    <row r="271" spans="1:26" ht="13.5" customHeight="1">
      <c r="A271" s="31"/>
      <c r="B271" s="31"/>
      <c r="C271" s="44"/>
      <c r="D271" s="31"/>
      <c r="E271" s="30"/>
      <c r="F271" s="31"/>
      <c r="G271" s="31"/>
      <c r="H271" s="31"/>
      <c r="I271" s="31"/>
      <c r="J271" s="31"/>
      <c r="K271" s="31"/>
      <c r="L271" s="31"/>
      <c r="M271" s="31"/>
      <c r="N271" s="31"/>
      <c r="O271" s="31"/>
      <c r="P271" s="31"/>
      <c r="Q271" s="31"/>
      <c r="R271" s="31"/>
      <c r="S271" s="31"/>
      <c r="T271" s="31"/>
      <c r="U271" s="31"/>
      <c r="V271" s="31"/>
      <c r="W271" s="31"/>
      <c r="X271" s="31"/>
      <c r="Y271" s="31"/>
      <c r="Z271" s="31"/>
    </row>
    <row r="272" spans="1:26" ht="13.5" customHeight="1">
      <c r="A272" s="31"/>
      <c r="B272" s="31"/>
      <c r="C272" s="44"/>
      <c r="D272" s="31"/>
      <c r="E272" s="30"/>
      <c r="F272" s="31"/>
      <c r="G272" s="31"/>
      <c r="H272" s="31"/>
      <c r="I272" s="31"/>
      <c r="J272" s="31"/>
      <c r="K272" s="31"/>
      <c r="L272" s="31"/>
      <c r="M272" s="31"/>
      <c r="N272" s="31"/>
      <c r="O272" s="31"/>
      <c r="P272" s="31"/>
      <c r="Q272" s="31"/>
      <c r="R272" s="31"/>
      <c r="S272" s="31"/>
      <c r="T272" s="31"/>
      <c r="U272" s="31"/>
      <c r="V272" s="31"/>
      <c r="W272" s="31"/>
      <c r="X272" s="31"/>
      <c r="Y272" s="31"/>
      <c r="Z272" s="31"/>
    </row>
    <row r="273" spans="1:26" ht="13.5" customHeight="1">
      <c r="A273" s="31"/>
      <c r="B273" s="31"/>
      <c r="C273" s="44"/>
      <c r="D273" s="31"/>
      <c r="E273" s="30"/>
      <c r="F273" s="31"/>
      <c r="G273" s="31"/>
      <c r="H273" s="31"/>
      <c r="I273" s="31"/>
      <c r="J273" s="31"/>
      <c r="K273" s="31"/>
      <c r="L273" s="31"/>
      <c r="M273" s="31"/>
      <c r="N273" s="31"/>
      <c r="O273" s="31"/>
      <c r="P273" s="31"/>
      <c r="Q273" s="31"/>
      <c r="R273" s="31"/>
      <c r="S273" s="31"/>
      <c r="T273" s="31"/>
      <c r="U273" s="31"/>
      <c r="V273" s="31"/>
      <c r="W273" s="31"/>
      <c r="X273" s="31"/>
      <c r="Y273" s="31"/>
      <c r="Z273" s="31"/>
    </row>
    <row r="274" spans="1:26" ht="13.5" customHeight="1">
      <c r="A274" s="31"/>
      <c r="B274" s="31"/>
      <c r="C274" s="44"/>
      <c r="D274" s="31"/>
      <c r="E274" s="30"/>
      <c r="F274" s="31"/>
      <c r="G274" s="31"/>
      <c r="H274" s="31"/>
      <c r="I274" s="31"/>
      <c r="J274" s="31"/>
      <c r="K274" s="31"/>
      <c r="L274" s="31"/>
      <c r="M274" s="31"/>
      <c r="N274" s="31"/>
      <c r="O274" s="31"/>
      <c r="P274" s="31"/>
      <c r="Q274" s="31"/>
      <c r="R274" s="31"/>
      <c r="S274" s="31"/>
      <c r="T274" s="31"/>
      <c r="U274" s="31"/>
      <c r="V274" s="31"/>
      <c r="W274" s="31"/>
      <c r="X274" s="31"/>
      <c r="Y274" s="31"/>
      <c r="Z274" s="31"/>
    </row>
    <row r="275" spans="1:26" ht="13.5" customHeight="1">
      <c r="A275" s="31"/>
      <c r="B275" s="31"/>
      <c r="C275" s="44"/>
      <c r="D275" s="31"/>
      <c r="E275" s="30"/>
      <c r="F275" s="31"/>
      <c r="G275" s="31"/>
      <c r="H275" s="31"/>
      <c r="I275" s="31"/>
      <c r="J275" s="31"/>
      <c r="K275" s="31"/>
      <c r="L275" s="31"/>
      <c r="M275" s="31"/>
      <c r="N275" s="31"/>
      <c r="O275" s="31"/>
      <c r="P275" s="31"/>
      <c r="Q275" s="31"/>
      <c r="R275" s="31"/>
      <c r="S275" s="31"/>
      <c r="T275" s="31"/>
      <c r="U275" s="31"/>
      <c r="V275" s="31"/>
      <c r="W275" s="31"/>
      <c r="X275" s="31"/>
      <c r="Y275" s="31"/>
      <c r="Z275" s="31"/>
    </row>
    <row r="276" spans="1:26" ht="13.5" customHeight="1">
      <c r="A276" s="31"/>
      <c r="B276" s="31"/>
      <c r="C276" s="44"/>
      <c r="D276" s="31"/>
      <c r="E276" s="30"/>
      <c r="F276" s="31"/>
      <c r="G276" s="31"/>
      <c r="H276" s="31"/>
      <c r="I276" s="31"/>
      <c r="J276" s="31"/>
      <c r="K276" s="31"/>
      <c r="L276" s="31"/>
      <c r="M276" s="31"/>
      <c r="N276" s="31"/>
      <c r="O276" s="31"/>
      <c r="P276" s="31"/>
      <c r="Q276" s="31"/>
      <c r="R276" s="31"/>
      <c r="S276" s="31"/>
      <c r="T276" s="31"/>
      <c r="U276" s="31"/>
      <c r="V276" s="31"/>
      <c r="W276" s="31"/>
      <c r="X276" s="31"/>
      <c r="Y276" s="31"/>
      <c r="Z276" s="31"/>
    </row>
    <row r="277" spans="1:26" ht="13.5" customHeight="1">
      <c r="A277" s="31"/>
      <c r="B277" s="31"/>
      <c r="C277" s="44"/>
      <c r="D277" s="31"/>
      <c r="E277" s="30"/>
      <c r="F277" s="31"/>
      <c r="G277" s="31"/>
      <c r="H277" s="31"/>
      <c r="I277" s="31"/>
      <c r="J277" s="31"/>
      <c r="K277" s="31"/>
      <c r="L277" s="31"/>
      <c r="M277" s="31"/>
      <c r="N277" s="31"/>
      <c r="O277" s="31"/>
      <c r="P277" s="31"/>
      <c r="Q277" s="31"/>
      <c r="R277" s="31"/>
      <c r="S277" s="31"/>
      <c r="T277" s="31"/>
      <c r="U277" s="31"/>
      <c r="V277" s="31"/>
      <c r="W277" s="31"/>
      <c r="X277" s="31"/>
      <c r="Y277" s="31"/>
      <c r="Z277" s="31"/>
    </row>
    <row r="278" spans="1:26" ht="13.5" customHeight="1">
      <c r="A278" s="31"/>
      <c r="B278" s="31"/>
      <c r="C278" s="44"/>
      <c r="D278" s="31"/>
      <c r="E278" s="30"/>
      <c r="F278" s="31"/>
      <c r="G278" s="31"/>
      <c r="H278" s="31"/>
      <c r="I278" s="31"/>
      <c r="J278" s="31"/>
      <c r="K278" s="31"/>
      <c r="L278" s="31"/>
      <c r="M278" s="31"/>
      <c r="N278" s="31"/>
      <c r="O278" s="31"/>
      <c r="P278" s="31"/>
      <c r="Q278" s="31"/>
      <c r="R278" s="31"/>
      <c r="S278" s="31"/>
      <c r="T278" s="31"/>
      <c r="U278" s="31"/>
      <c r="V278" s="31"/>
      <c r="W278" s="31"/>
      <c r="X278" s="31"/>
      <c r="Y278" s="31"/>
      <c r="Z278" s="31"/>
    </row>
    <row r="279" spans="1:26" ht="13.5" customHeight="1">
      <c r="A279" s="31"/>
      <c r="B279" s="31"/>
      <c r="C279" s="44"/>
      <c r="D279" s="31"/>
      <c r="E279" s="30"/>
      <c r="F279" s="31"/>
      <c r="G279" s="31"/>
      <c r="H279" s="31"/>
      <c r="I279" s="31"/>
      <c r="J279" s="31"/>
      <c r="K279" s="31"/>
      <c r="L279" s="31"/>
      <c r="M279" s="31"/>
      <c r="N279" s="31"/>
      <c r="O279" s="31"/>
      <c r="P279" s="31"/>
      <c r="Q279" s="31"/>
      <c r="R279" s="31"/>
      <c r="S279" s="31"/>
      <c r="T279" s="31"/>
      <c r="U279" s="31"/>
      <c r="V279" s="31"/>
      <c r="W279" s="31"/>
      <c r="X279" s="31"/>
      <c r="Y279" s="31"/>
      <c r="Z279" s="31"/>
    </row>
    <row r="280" spans="1:26" ht="13.5" customHeight="1">
      <c r="A280" s="31"/>
      <c r="B280" s="31"/>
      <c r="C280" s="44"/>
      <c r="D280" s="31"/>
      <c r="E280" s="30"/>
      <c r="F280" s="31"/>
      <c r="G280" s="31"/>
      <c r="H280" s="31"/>
      <c r="I280" s="31"/>
      <c r="J280" s="31"/>
      <c r="K280" s="31"/>
      <c r="L280" s="31"/>
      <c r="M280" s="31"/>
      <c r="N280" s="31"/>
      <c r="O280" s="31"/>
      <c r="P280" s="31"/>
      <c r="Q280" s="31"/>
      <c r="R280" s="31"/>
      <c r="S280" s="31"/>
      <c r="T280" s="31"/>
      <c r="U280" s="31"/>
      <c r="V280" s="31"/>
      <c r="W280" s="31"/>
      <c r="X280" s="31"/>
      <c r="Y280" s="31"/>
      <c r="Z280" s="31"/>
    </row>
    <row r="281" spans="1:26" ht="13.5" customHeight="1">
      <c r="A281" s="31"/>
      <c r="B281" s="31"/>
      <c r="C281" s="44"/>
      <c r="D281" s="31"/>
      <c r="E281" s="30"/>
      <c r="F281" s="31"/>
      <c r="G281" s="31"/>
      <c r="H281" s="31"/>
      <c r="I281" s="31"/>
      <c r="J281" s="31"/>
      <c r="K281" s="31"/>
      <c r="L281" s="31"/>
      <c r="M281" s="31"/>
      <c r="N281" s="31"/>
      <c r="O281" s="31"/>
      <c r="P281" s="31"/>
      <c r="Q281" s="31"/>
      <c r="R281" s="31"/>
      <c r="S281" s="31"/>
      <c r="T281" s="31"/>
      <c r="U281" s="31"/>
      <c r="V281" s="31"/>
      <c r="W281" s="31"/>
      <c r="X281" s="31"/>
      <c r="Y281" s="31"/>
      <c r="Z281" s="31"/>
    </row>
    <row r="282" spans="1:26" ht="13.5" customHeight="1">
      <c r="A282" s="31"/>
      <c r="B282" s="31"/>
      <c r="C282" s="44"/>
      <c r="D282" s="31"/>
      <c r="E282" s="30"/>
      <c r="F282" s="31"/>
      <c r="G282" s="31"/>
      <c r="H282" s="31"/>
      <c r="I282" s="31"/>
      <c r="J282" s="31"/>
      <c r="K282" s="31"/>
      <c r="L282" s="31"/>
      <c r="M282" s="31"/>
      <c r="N282" s="31"/>
      <c r="O282" s="31"/>
      <c r="P282" s="31"/>
      <c r="Q282" s="31"/>
      <c r="R282" s="31"/>
      <c r="S282" s="31"/>
      <c r="T282" s="31"/>
      <c r="U282" s="31"/>
      <c r="V282" s="31"/>
      <c r="W282" s="31"/>
      <c r="X282" s="31"/>
      <c r="Y282" s="31"/>
      <c r="Z282" s="31"/>
    </row>
    <row r="283" spans="1:26" ht="13.5" customHeight="1">
      <c r="A283" s="31"/>
      <c r="B283" s="31"/>
      <c r="C283" s="44"/>
      <c r="D283" s="31"/>
      <c r="E283" s="30"/>
      <c r="F283" s="31"/>
      <c r="G283" s="31"/>
      <c r="H283" s="31"/>
      <c r="I283" s="31"/>
      <c r="J283" s="31"/>
      <c r="K283" s="31"/>
      <c r="L283" s="31"/>
      <c r="M283" s="31"/>
      <c r="N283" s="31"/>
      <c r="O283" s="31"/>
      <c r="P283" s="31"/>
      <c r="Q283" s="31"/>
      <c r="R283" s="31"/>
      <c r="S283" s="31"/>
      <c r="T283" s="31"/>
      <c r="U283" s="31"/>
      <c r="V283" s="31"/>
      <c r="W283" s="31"/>
      <c r="X283" s="31"/>
      <c r="Y283" s="31"/>
      <c r="Z283" s="31"/>
    </row>
    <row r="284" spans="1:26" ht="13.5" customHeight="1">
      <c r="A284" s="31"/>
      <c r="B284" s="31"/>
      <c r="C284" s="44"/>
      <c r="D284" s="31"/>
      <c r="E284" s="30"/>
      <c r="F284" s="31"/>
      <c r="G284" s="31"/>
      <c r="H284" s="31"/>
      <c r="I284" s="31"/>
      <c r="J284" s="31"/>
      <c r="K284" s="31"/>
      <c r="L284" s="31"/>
      <c r="M284" s="31"/>
      <c r="N284" s="31"/>
      <c r="O284" s="31"/>
      <c r="P284" s="31"/>
      <c r="Q284" s="31"/>
      <c r="R284" s="31"/>
      <c r="S284" s="31"/>
      <c r="T284" s="31"/>
      <c r="U284" s="31"/>
      <c r="V284" s="31"/>
      <c r="W284" s="31"/>
      <c r="X284" s="31"/>
      <c r="Y284" s="31"/>
      <c r="Z284" s="31"/>
    </row>
    <row r="285" spans="1:26" ht="13.5" customHeight="1">
      <c r="A285" s="31"/>
      <c r="B285" s="31"/>
      <c r="C285" s="44"/>
      <c r="D285" s="31"/>
      <c r="E285" s="30"/>
      <c r="F285" s="31"/>
      <c r="G285" s="31"/>
      <c r="H285" s="31"/>
      <c r="I285" s="31"/>
      <c r="J285" s="31"/>
      <c r="K285" s="31"/>
      <c r="L285" s="31"/>
      <c r="M285" s="31"/>
      <c r="N285" s="31"/>
      <c r="O285" s="31"/>
      <c r="P285" s="31"/>
      <c r="Q285" s="31"/>
      <c r="R285" s="31"/>
      <c r="S285" s="31"/>
      <c r="T285" s="31"/>
      <c r="U285" s="31"/>
      <c r="V285" s="31"/>
      <c r="W285" s="31"/>
      <c r="X285" s="31"/>
      <c r="Y285" s="31"/>
      <c r="Z285" s="31"/>
    </row>
    <row r="286" spans="1:26" ht="13.5" customHeight="1">
      <c r="A286" s="31"/>
      <c r="B286" s="31"/>
      <c r="C286" s="44"/>
      <c r="D286" s="31"/>
      <c r="E286" s="30"/>
      <c r="F286" s="31"/>
      <c r="G286" s="31"/>
      <c r="H286" s="31"/>
      <c r="I286" s="31"/>
      <c r="J286" s="31"/>
      <c r="K286" s="31"/>
      <c r="L286" s="31"/>
      <c r="M286" s="31"/>
      <c r="N286" s="31"/>
      <c r="O286" s="31"/>
      <c r="P286" s="31"/>
      <c r="Q286" s="31"/>
      <c r="R286" s="31"/>
      <c r="S286" s="31"/>
      <c r="T286" s="31"/>
      <c r="U286" s="31"/>
      <c r="V286" s="31"/>
      <c r="W286" s="31"/>
      <c r="X286" s="31"/>
      <c r="Y286" s="31"/>
      <c r="Z286" s="31"/>
    </row>
    <row r="287" spans="1:26" ht="13.5" customHeight="1">
      <c r="A287" s="31"/>
      <c r="B287" s="31"/>
      <c r="C287" s="44"/>
      <c r="D287" s="31"/>
      <c r="E287" s="30"/>
      <c r="F287" s="31"/>
      <c r="G287" s="31"/>
      <c r="H287" s="31"/>
      <c r="I287" s="31"/>
      <c r="J287" s="31"/>
      <c r="K287" s="31"/>
      <c r="L287" s="31"/>
      <c r="M287" s="31"/>
      <c r="N287" s="31"/>
      <c r="O287" s="31"/>
      <c r="P287" s="31"/>
      <c r="Q287" s="31"/>
      <c r="R287" s="31"/>
      <c r="S287" s="31"/>
      <c r="T287" s="31"/>
      <c r="U287" s="31"/>
      <c r="V287" s="31"/>
      <c r="W287" s="31"/>
      <c r="X287" s="31"/>
      <c r="Y287" s="31"/>
      <c r="Z287" s="31"/>
    </row>
    <row r="288" spans="1:26" ht="13.5" customHeight="1">
      <c r="A288" s="31"/>
      <c r="B288" s="31"/>
      <c r="C288" s="44"/>
      <c r="D288" s="31"/>
      <c r="E288" s="30"/>
      <c r="F288" s="31"/>
      <c r="G288" s="31"/>
      <c r="H288" s="31"/>
      <c r="I288" s="31"/>
      <c r="J288" s="31"/>
      <c r="K288" s="31"/>
      <c r="L288" s="31"/>
      <c r="M288" s="31"/>
      <c r="N288" s="31"/>
      <c r="O288" s="31"/>
      <c r="P288" s="31"/>
      <c r="Q288" s="31"/>
      <c r="R288" s="31"/>
      <c r="S288" s="31"/>
      <c r="T288" s="31"/>
      <c r="U288" s="31"/>
      <c r="V288" s="31"/>
      <c r="W288" s="31"/>
      <c r="X288" s="31"/>
      <c r="Y288" s="31"/>
      <c r="Z288" s="31"/>
    </row>
    <row r="289" spans="1:26" ht="13.5" customHeight="1">
      <c r="A289" s="31"/>
      <c r="B289" s="31"/>
      <c r="C289" s="44"/>
      <c r="D289" s="31"/>
      <c r="E289" s="30"/>
      <c r="F289" s="31"/>
      <c r="G289" s="31"/>
      <c r="H289" s="31"/>
      <c r="I289" s="31"/>
      <c r="J289" s="31"/>
      <c r="K289" s="31"/>
      <c r="L289" s="31"/>
      <c r="M289" s="31"/>
      <c r="N289" s="31"/>
      <c r="O289" s="31"/>
      <c r="P289" s="31"/>
      <c r="Q289" s="31"/>
      <c r="R289" s="31"/>
      <c r="S289" s="31"/>
      <c r="T289" s="31"/>
      <c r="U289" s="31"/>
      <c r="V289" s="31"/>
      <c r="W289" s="31"/>
      <c r="X289" s="31"/>
      <c r="Y289" s="31"/>
      <c r="Z289" s="31"/>
    </row>
    <row r="290" spans="1:26" ht="13.5" customHeight="1">
      <c r="A290" s="31"/>
      <c r="B290" s="31"/>
      <c r="C290" s="44"/>
      <c r="D290" s="31"/>
      <c r="E290" s="30"/>
      <c r="F290" s="31"/>
      <c r="G290" s="31"/>
      <c r="H290" s="31"/>
      <c r="I290" s="31"/>
      <c r="J290" s="31"/>
      <c r="K290" s="31"/>
      <c r="L290" s="31"/>
      <c r="M290" s="31"/>
      <c r="N290" s="31"/>
      <c r="O290" s="31"/>
      <c r="P290" s="31"/>
      <c r="Q290" s="31"/>
      <c r="R290" s="31"/>
      <c r="S290" s="31"/>
      <c r="T290" s="31"/>
      <c r="U290" s="31"/>
      <c r="V290" s="31"/>
      <c r="W290" s="31"/>
      <c r="X290" s="31"/>
      <c r="Y290" s="31"/>
      <c r="Z290" s="31"/>
    </row>
    <row r="291" spans="1:26" ht="13.5" customHeight="1">
      <c r="A291" s="31"/>
      <c r="B291" s="31"/>
      <c r="C291" s="44"/>
      <c r="D291" s="31"/>
      <c r="E291" s="30"/>
      <c r="F291" s="31"/>
      <c r="G291" s="31"/>
      <c r="H291" s="31"/>
      <c r="I291" s="31"/>
      <c r="J291" s="31"/>
      <c r="K291" s="31"/>
      <c r="L291" s="31"/>
      <c r="M291" s="31"/>
      <c r="N291" s="31"/>
      <c r="O291" s="31"/>
      <c r="P291" s="31"/>
      <c r="Q291" s="31"/>
      <c r="R291" s="31"/>
      <c r="S291" s="31"/>
      <c r="T291" s="31"/>
      <c r="U291" s="31"/>
      <c r="V291" s="31"/>
      <c r="W291" s="31"/>
      <c r="X291" s="31"/>
      <c r="Y291" s="31"/>
      <c r="Z291" s="31"/>
    </row>
    <row r="292" spans="1:26" ht="13.5" customHeight="1">
      <c r="A292" s="31"/>
      <c r="B292" s="31"/>
      <c r="C292" s="44"/>
      <c r="D292" s="31"/>
      <c r="E292" s="30"/>
      <c r="F292" s="31"/>
      <c r="G292" s="31"/>
      <c r="H292" s="31"/>
      <c r="I292" s="31"/>
      <c r="J292" s="31"/>
      <c r="K292" s="31"/>
      <c r="L292" s="31"/>
      <c r="M292" s="31"/>
      <c r="N292" s="31"/>
      <c r="O292" s="31"/>
      <c r="P292" s="31"/>
      <c r="Q292" s="31"/>
      <c r="R292" s="31"/>
      <c r="S292" s="31"/>
      <c r="T292" s="31"/>
      <c r="U292" s="31"/>
      <c r="V292" s="31"/>
      <c r="W292" s="31"/>
      <c r="X292" s="31"/>
      <c r="Y292" s="31"/>
      <c r="Z292" s="31"/>
    </row>
    <row r="293" spans="1:26" ht="13.5" customHeight="1">
      <c r="A293" s="31"/>
      <c r="B293" s="31"/>
      <c r="C293" s="44"/>
      <c r="D293" s="31"/>
      <c r="E293" s="30"/>
      <c r="F293" s="31"/>
      <c r="G293" s="31"/>
      <c r="H293" s="31"/>
      <c r="I293" s="31"/>
      <c r="J293" s="31"/>
      <c r="K293" s="31"/>
      <c r="L293" s="31"/>
      <c r="M293" s="31"/>
      <c r="N293" s="31"/>
      <c r="O293" s="31"/>
      <c r="P293" s="31"/>
      <c r="Q293" s="31"/>
      <c r="R293" s="31"/>
      <c r="S293" s="31"/>
      <c r="T293" s="31"/>
      <c r="U293" s="31"/>
      <c r="V293" s="31"/>
      <c r="W293" s="31"/>
      <c r="X293" s="31"/>
      <c r="Y293" s="31"/>
      <c r="Z293" s="31"/>
    </row>
    <row r="294" spans="1:26" ht="13.5" customHeight="1">
      <c r="A294" s="31"/>
      <c r="B294" s="31"/>
      <c r="C294" s="44"/>
      <c r="D294" s="31"/>
      <c r="E294" s="30"/>
      <c r="F294" s="31"/>
      <c r="G294" s="31"/>
      <c r="H294" s="31"/>
      <c r="I294" s="31"/>
      <c r="J294" s="31"/>
      <c r="K294" s="31"/>
      <c r="L294" s="31"/>
      <c r="M294" s="31"/>
      <c r="N294" s="31"/>
      <c r="O294" s="31"/>
      <c r="P294" s="31"/>
      <c r="Q294" s="31"/>
      <c r="R294" s="31"/>
      <c r="S294" s="31"/>
      <c r="T294" s="31"/>
      <c r="U294" s="31"/>
      <c r="V294" s="31"/>
      <c r="W294" s="31"/>
      <c r="X294" s="31"/>
      <c r="Y294" s="31"/>
      <c r="Z294" s="31"/>
    </row>
    <row r="295" spans="1:26" ht="13.5" customHeight="1">
      <c r="A295" s="31"/>
      <c r="B295" s="31"/>
      <c r="C295" s="44"/>
      <c r="D295" s="31"/>
      <c r="E295" s="30"/>
      <c r="F295" s="31"/>
      <c r="G295" s="31"/>
      <c r="H295" s="31"/>
      <c r="I295" s="31"/>
      <c r="J295" s="31"/>
      <c r="K295" s="31"/>
      <c r="L295" s="31"/>
      <c r="M295" s="31"/>
      <c r="N295" s="31"/>
      <c r="O295" s="31"/>
      <c r="P295" s="31"/>
      <c r="Q295" s="31"/>
      <c r="R295" s="31"/>
      <c r="S295" s="31"/>
      <c r="T295" s="31"/>
      <c r="U295" s="31"/>
      <c r="V295" s="31"/>
      <c r="W295" s="31"/>
      <c r="X295" s="31"/>
      <c r="Y295" s="31"/>
      <c r="Z295" s="31"/>
    </row>
    <row r="296" spans="1:26" ht="13.5" customHeight="1">
      <c r="A296" s="31"/>
      <c r="B296" s="31"/>
      <c r="C296" s="44"/>
      <c r="D296" s="31"/>
      <c r="E296" s="30"/>
      <c r="F296" s="31"/>
      <c r="G296" s="31"/>
      <c r="H296" s="31"/>
      <c r="I296" s="31"/>
      <c r="J296" s="31"/>
      <c r="K296" s="31"/>
      <c r="L296" s="31"/>
      <c r="M296" s="31"/>
      <c r="N296" s="31"/>
      <c r="O296" s="31"/>
      <c r="P296" s="31"/>
      <c r="Q296" s="31"/>
      <c r="R296" s="31"/>
      <c r="S296" s="31"/>
      <c r="T296" s="31"/>
      <c r="U296" s="31"/>
      <c r="V296" s="31"/>
      <c r="W296" s="31"/>
      <c r="X296" s="31"/>
      <c r="Y296" s="31"/>
      <c r="Z296" s="31"/>
    </row>
    <row r="297" spans="1:26" ht="13.5" customHeight="1">
      <c r="A297" s="31"/>
      <c r="B297" s="31"/>
      <c r="C297" s="44"/>
      <c r="D297" s="31"/>
      <c r="E297" s="30"/>
      <c r="F297" s="31"/>
      <c r="G297" s="31"/>
      <c r="H297" s="31"/>
      <c r="I297" s="31"/>
      <c r="J297" s="31"/>
      <c r="K297" s="31"/>
      <c r="L297" s="31"/>
      <c r="M297" s="31"/>
      <c r="N297" s="31"/>
      <c r="O297" s="31"/>
      <c r="P297" s="31"/>
      <c r="Q297" s="31"/>
      <c r="R297" s="31"/>
      <c r="S297" s="31"/>
      <c r="T297" s="31"/>
      <c r="U297" s="31"/>
      <c r="V297" s="31"/>
      <c r="W297" s="31"/>
      <c r="X297" s="31"/>
      <c r="Y297" s="31"/>
      <c r="Z297" s="31"/>
    </row>
    <row r="298" spans="1:26" ht="13.5" customHeight="1">
      <c r="A298" s="31"/>
      <c r="B298" s="31"/>
      <c r="C298" s="44"/>
      <c r="D298" s="31"/>
      <c r="E298" s="30"/>
      <c r="F298" s="31"/>
      <c r="G298" s="31"/>
      <c r="H298" s="31"/>
      <c r="I298" s="31"/>
      <c r="J298" s="31"/>
      <c r="K298" s="31"/>
      <c r="L298" s="31"/>
      <c r="M298" s="31"/>
      <c r="N298" s="31"/>
      <c r="O298" s="31"/>
      <c r="P298" s="31"/>
      <c r="Q298" s="31"/>
      <c r="R298" s="31"/>
      <c r="S298" s="31"/>
      <c r="T298" s="31"/>
      <c r="U298" s="31"/>
      <c r="V298" s="31"/>
      <c r="W298" s="31"/>
      <c r="X298" s="31"/>
      <c r="Y298" s="31"/>
      <c r="Z298" s="31"/>
    </row>
    <row r="299" spans="1:26" ht="13.5" customHeight="1">
      <c r="A299" s="31"/>
      <c r="B299" s="31"/>
      <c r="C299" s="44"/>
      <c r="D299" s="31"/>
      <c r="E299" s="30"/>
      <c r="F299" s="31"/>
      <c r="G299" s="31"/>
      <c r="H299" s="31"/>
      <c r="I299" s="31"/>
      <c r="J299" s="31"/>
      <c r="K299" s="31"/>
      <c r="L299" s="31"/>
      <c r="M299" s="31"/>
      <c r="N299" s="31"/>
      <c r="O299" s="31"/>
      <c r="P299" s="31"/>
      <c r="Q299" s="31"/>
      <c r="R299" s="31"/>
      <c r="S299" s="31"/>
      <c r="T299" s="31"/>
      <c r="U299" s="31"/>
      <c r="V299" s="31"/>
      <c r="W299" s="31"/>
      <c r="X299" s="31"/>
      <c r="Y299" s="31"/>
      <c r="Z299" s="31"/>
    </row>
    <row r="300" spans="1:26" ht="13.5" customHeight="1">
      <c r="A300" s="31"/>
      <c r="B300" s="31"/>
      <c r="C300" s="44"/>
      <c r="D300" s="31"/>
      <c r="E300" s="30"/>
      <c r="F300" s="31"/>
      <c r="G300" s="31"/>
      <c r="H300" s="31"/>
      <c r="I300" s="31"/>
      <c r="J300" s="31"/>
      <c r="K300" s="31"/>
      <c r="L300" s="31"/>
      <c r="M300" s="31"/>
      <c r="N300" s="31"/>
      <c r="O300" s="31"/>
      <c r="P300" s="31"/>
      <c r="Q300" s="31"/>
      <c r="R300" s="31"/>
      <c r="S300" s="31"/>
      <c r="T300" s="31"/>
      <c r="U300" s="31"/>
      <c r="V300" s="31"/>
      <c r="W300" s="31"/>
      <c r="X300" s="31"/>
      <c r="Y300" s="31"/>
      <c r="Z300" s="31"/>
    </row>
    <row r="301" spans="1:26" ht="13.5" customHeight="1">
      <c r="A301" s="31"/>
      <c r="B301" s="31"/>
      <c r="C301" s="44"/>
      <c r="D301" s="31"/>
      <c r="E301" s="30"/>
      <c r="F301" s="31"/>
      <c r="G301" s="31"/>
      <c r="H301" s="31"/>
      <c r="I301" s="31"/>
      <c r="J301" s="31"/>
      <c r="K301" s="31"/>
      <c r="L301" s="31"/>
      <c r="M301" s="31"/>
      <c r="N301" s="31"/>
      <c r="O301" s="31"/>
      <c r="P301" s="31"/>
      <c r="Q301" s="31"/>
      <c r="R301" s="31"/>
      <c r="S301" s="31"/>
      <c r="T301" s="31"/>
      <c r="U301" s="31"/>
      <c r="V301" s="31"/>
      <c r="W301" s="31"/>
      <c r="X301" s="31"/>
      <c r="Y301" s="31"/>
      <c r="Z301" s="31"/>
    </row>
    <row r="302" spans="1:26" ht="13.5" customHeight="1">
      <c r="A302" s="31"/>
      <c r="B302" s="31"/>
      <c r="C302" s="44"/>
      <c r="D302" s="31"/>
      <c r="E302" s="30"/>
      <c r="F302" s="31"/>
      <c r="G302" s="31"/>
      <c r="H302" s="31"/>
      <c r="I302" s="31"/>
      <c r="J302" s="31"/>
      <c r="K302" s="31"/>
      <c r="L302" s="31"/>
      <c r="M302" s="31"/>
      <c r="N302" s="31"/>
      <c r="O302" s="31"/>
      <c r="P302" s="31"/>
      <c r="Q302" s="31"/>
      <c r="R302" s="31"/>
      <c r="S302" s="31"/>
      <c r="T302" s="31"/>
      <c r="U302" s="31"/>
      <c r="V302" s="31"/>
      <c r="W302" s="31"/>
      <c r="X302" s="31"/>
      <c r="Y302" s="31"/>
      <c r="Z302" s="31"/>
    </row>
    <row r="303" spans="1:26" ht="13.5" customHeight="1">
      <c r="A303" s="31"/>
      <c r="B303" s="31"/>
      <c r="C303" s="44"/>
      <c r="D303" s="31"/>
      <c r="E303" s="30"/>
      <c r="F303" s="31"/>
      <c r="G303" s="31"/>
      <c r="H303" s="31"/>
      <c r="I303" s="31"/>
      <c r="J303" s="31"/>
      <c r="K303" s="31"/>
      <c r="L303" s="31"/>
      <c r="M303" s="31"/>
      <c r="N303" s="31"/>
      <c r="O303" s="31"/>
      <c r="P303" s="31"/>
      <c r="Q303" s="31"/>
      <c r="R303" s="31"/>
      <c r="S303" s="31"/>
      <c r="T303" s="31"/>
      <c r="U303" s="31"/>
      <c r="V303" s="31"/>
      <c r="W303" s="31"/>
      <c r="X303" s="31"/>
      <c r="Y303" s="31"/>
      <c r="Z303" s="31"/>
    </row>
    <row r="304" spans="1:26" ht="13.5" customHeight="1">
      <c r="A304" s="31"/>
      <c r="B304" s="31"/>
      <c r="C304" s="44"/>
      <c r="D304" s="31"/>
      <c r="E304" s="30"/>
      <c r="F304" s="31"/>
      <c r="G304" s="31"/>
      <c r="H304" s="31"/>
      <c r="I304" s="31"/>
      <c r="J304" s="31"/>
      <c r="K304" s="31"/>
      <c r="L304" s="31"/>
      <c r="M304" s="31"/>
      <c r="N304" s="31"/>
      <c r="O304" s="31"/>
      <c r="P304" s="31"/>
      <c r="Q304" s="31"/>
      <c r="R304" s="31"/>
      <c r="S304" s="31"/>
      <c r="T304" s="31"/>
      <c r="U304" s="31"/>
      <c r="V304" s="31"/>
      <c r="W304" s="31"/>
      <c r="X304" s="31"/>
      <c r="Y304" s="31"/>
      <c r="Z304" s="31"/>
    </row>
    <row r="305" spans="1:26" ht="13.5" customHeight="1">
      <c r="A305" s="31"/>
      <c r="B305" s="31"/>
      <c r="C305" s="44"/>
      <c r="D305" s="31"/>
      <c r="E305" s="30"/>
      <c r="F305" s="31"/>
      <c r="G305" s="31"/>
      <c r="H305" s="31"/>
      <c r="I305" s="31"/>
      <c r="J305" s="31"/>
      <c r="K305" s="31"/>
      <c r="L305" s="31"/>
      <c r="M305" s="31"/>
      <c r="N305" s="31"/>
      <c r="O305" s="31"/>
      <c r="P305" s="31"/>
      <c r="Q305" s="31"/>
      <c r="R305" s="31"/>
      <c r="S305" s="31"/>
      <c r="T305" s="31"/>
      <c r="U305" s="31"/>
      <c r="V305" s="31"/>
      <c r="W305" s="31"/>
      <c r="X305" s="31"/>
      <c r="Y305" s="31"/>
      <c r="Z305" s="31"/>
    </row>
    <row r="306" spans="1:26" ht="13.5" customHeight="1">
      <c r="A306" s="31"/>
      <c r="B306" s="31"/>
      <c r="C306" s="44"/>
      <c r="D306" s="31"/>
      <c r="E306" s="30"/>
      <c r="F306" s="31"/>
      <c r="G306" s="31"/>
      <c r="H306" s="31"/>
      <c r="I306" s="31"/>
      <c r="J306" s="31"/>
      <c r="K306" s="31"/>
      <c r="L306" s="31"/>
      <c r="M306" s="31"/>
      <c r="N306" s="31"/>
      <c r="O306" s="31"/>
      <c r="P306" s="31"/>
      <c r="Q306" s="31"/>
      <c r="R306" s="31"/>
      <c r="S306" s="31"/>
      <c r="T306" s="31"/>
      <c r="U306" s="31"/>
      <c r="V306" s="31"/>
      <c r="W306" s="31"/>
      <c r="X306" s="31"/>
      <c r="Y306" s="31"/>
      <c r="Z306" s="31"/>
    </row>
    <row r="307" spans="1:26" ht="13.5" customHeight="1">
      <c r="A307" s="31"/>
      <c r="B307" s="31"/>
      <c r="C307" s="44"/>
      <c r="D307" s="31"/>
      <c r="E307" s="30"/>
      <c r="F307" s="31"/>
      <c r="G307" s="31"/>
      <c r="H307" s="31"/>
      <c r="I307" s="31"/>
      <c r="J307" s="31"/>
      <c r="K307" s="31"/>
      <c r="L307" s="31"/>
      <c r="M307" s="31"/>
      <c r="N307" s="31"/>
      <c r="O307" s="31"/>
      <c r="P307" s="31"/>
      <c r="Q307" s="31"/>
      <c r="R307" s="31"/>
      <c r="S307" s="31"/>
      <c r="T307" s="31"/>
      <c r="U307" s="31"/>
      <c r="V307" s="31"/>
      <c r="W307" s="31"/>
      <c r="X307" s="31"/>
      <c r="Y307" s="31"/>
      <c r="Z307" s="31"/>
    </row>
    <row r="308" spans="1:26" ht="13.5" customHeight="1">
      <c r="A308" s="31"/>
      <c r="B308" s="31"/>
      <c r="C308" s="44"/>
      <c r="D308" s="31"/>
      <c r="E308" s="30"/>
      <c r="F308" s="31"/>
      <c r="G308" s="31"/>
      <c r="H308" s="31"/>
      <c r="I308" s="31"/>
      <c r="J308" s="31"/>
      <c r="K308" s="31"/>
      <c r="L308" s="31"/>
      <c r="M308" s="31"/>
      <c r="N308" s="31"/>
      <c r="O308" s="31"/>
      <c r="P308" s="31"/>
      <c r="Q308" s="31"/>
      <c r="R308" s="31"/>
      <c r="S308" s="31"/>
      <c r="T308" s="31"/>
      <c r="U308" s="31"/>
      <c r="V308" s="31"/>
      <c r="W308" s="31"/>
      <c r="X308" s="31"/>
      <c r="Y308" s="31"/>
      <c r="Z308" s="31"/>
    </row>
    <row r="309" spans="1:26" ht="13.5" customHeight="1">
      <c r="A309" s="31"/>
      <c r="B309" s="31"/>
      <c r="C309" s="44"/>
      <c r="D309" s="31"/>
      <c r="E309" s="30"/>
      <c r="F309" s="31"/>
      <c r="G309" s="31"/>
      <c r="H309" s="31"/>
      <c r="I309" s="31"/>
      <c r="J309" s="31"/>
      <c r="K309" s="31"/>
      <c r="L309" s="31"/>
      <c r="M309" s="31"/>
      <c r="N309" s="31"/>
      <c r="O309" s="31"/>
      <c r="P309" s="31"/>
      <c r="Q309" s="31"/>
      <c r="R309" s="31"/>
      <c r="S309" s="31"/>
      <c r="T309" s="31"/>
      <c r="U309" s="31"/>
      <c r="V309" s="31"/>
      <c r="W309" s="31"/>
      <c r="X309" s="31"/>
      <c r="Y309" s="31"/>
      <c r="Z309" s="31"/>
    </row>
    <row r="310" spans="1:26" ht="13.5" customHeight="1">
      <c r="A310" s="31"/>
      <c r="B310" s="31"/>
      <c r="C310" s="44"/>
      <c r="D310" s="31"/>
      <c r="E310" s="30"/>
      <c r="F310" s="31"/>
      <c r="G310" s="31"/>
      <c r="H310" s="31"/>
      <c r="I310" s="31"/>
      <c r="J310" s="31"/>
      <c r="K310" s="31"/>
      <c r="L310" s="31"/>
      <c r="M310" s="31"/>
      <c r="N310" s="31"/>
      <c r="O310" s="31"/>
      <c r="P310" s="31"/>
      <c r="Q310" s="31"/>
      <c r="R310" s="31"/>
      <c r="S310" s="31"/>
      <c r="T310" s="31"/>
      <c r="U310" s="31"/>
      <c r="V310" s="31"/>
      <c r="W310" s="31"/>
      <c r="X310" s="31"/>
      <c r="Y310" s="31"/>
      <c r="Z310" s="31"/>
    </row>
    <row r="311" spans="1:26" ht="13.5" customHeight="1">
      <c r="A311" s="31"/>
      <c r="B311" s="31"/>
      <c r="C311" s="44"/>
      <c r="D311" s="31"/>
      <c r="E311" s="30"/>
      <c r="F311" s="31"/>
      <c r="G311" s="31"/>
      <c r="H311" s="31"/>
      <c r="I311" s="31"/>
      <c r="J311" s="31"/>
      <c r="K311" s="31"/>
      <c r="L311" s="31"/>
      <c r="M311" s="31"/>
      <c r="N311" s="31"/>
      <c r="O311" s="31"/>
      <c r="P311" s="31"/>
      <c r="Q311" s="31"/>
      <c r="R311" s="31"/>
      <c r="S311" s="31"/>
      <c r="T311" s="31"/>
      <c r="U311" s="31"/>
      <c r="V311" s="31"/>
      <c r="W311" s="31"/>
      <c r="X311" s="31"/>
      <c r="Y311" s="31"/>
      <c r="Z311" s="31"/>
    </row>
    <row r="312" spans="1:26" ht="13.5" customHeight="1">
      <c r="A312" s="31"/>
      <c r="B312" s="31"/>
      <c r="C312" s="44"/>
      <c r="D312" s="31"/>
      <c r="E312" s="30"/>
      <c r="F312" s="31"/>
      <c r="G312" s="31"/>
      <c r="H312" s="31"/>
      <c r="I312" s="31"/>
      <c r="J312" s="31"/>
      <c r="K312" s="31"/>
      <c r="L312" s="31"/>
      <c r="M312" s="31"/>
      <c r="N312" s="31"/>
      <c r="O312" s="31"/>
      <c r="P312" s="31"/>
      <c r="Q312" s="31"/>
      <c r="R312" s="31"/>
      <c r="S312" s="31"/>
      <c r="T312" s="31"/>
      <c r="U312" s="31"/>
      <c r="V312" s="31"/>
      <c r="W312" s="31"/>
      <c r="X312" s="31"/>
      <c r="Y312" s="31"/>
      <c r="Z312" s="31"/>
    </row>
    <row r="313" spans="1:26" ht="13.5" customHeight="1">
      <c r="A313" s="31"/>
      <c r="B313" s="31"/>
      <c r="C313" s="44"/>
      <c r="D313" s="31"/>
      <c r="E313" s="30"/>
      <c r="F313" s="31"/>
      <c r="G313" s="31"/>
      <c r="H313" s="31"/>
      <c r="I313" s="31"/>
      <c r="J313" s="31"/>
      <c r="K313" s="31"/>
      <c r="L313" s="31"/>
      <c r="M313" s="31"/>
      <c r="N313" s="31"/>
      <c r="O313" s="31"/>
      <c r="P313" s="31"/>
      <c r="Q313" s="31"/>
      <c r="R313" s="31"/>
      <c r="S313" s="31"/>
      <c r="T313" s="31"/>
      <c r="U313" s="31"/>
      <c r="V313" s="31"/>
      <c r="W313" s="31"/>
      <c r="X313" s="31"/>
      <c r="Y313" s="31"/>
      <c r="Z313" s="31"/>
    </row>
    <row r="314" spans="1:26" ht="13.5" customHeight="1">
      <c r="A314" s="31"/>
      <c r="B314" s="31"/>
      <c r="C314" s="44"/>
      <c r="D314" s="31"/>
      <c r="E314" s="30"/>
      <c r="F314" s="31"/>
      <c r="G314" s="31"/>
      <c r="H314" s="31"/>
      <c r="I314" s="31"/>
      <c r="J314" s="31"/>
      <c r="K314" s="31"/>
      <c r="L314" s="31"/>
      <c r="M314" s="31"/>
      <c r="N314" s="31"/>
      <c r="O314" s="31"/>
      <c r="P314" s="31"/>
      <c r="Q314" s="31"/>
      <c r="R314" s="31"/>
      <c r="S314" s="31"/>
      <c r="T314" s="31"/>
      <c r="U314" s="31"/>
      <c r="V314" s="31"/>
      <c r="W314" s="31"/>
      <c r="X314" s="31"/>
      <c r="Y314" s="31"/>
      <c r="Z314" s="31"/>
    </row>
    <row r="315" spans="1:26" ht="13.5" customHeight="1">
      <c r="A315" s="31"/>
      <c r="B315" s="31"/>
      <c r="C315" s="44"/>
      <c r="D315" s="31"/>
      <c r="E315" s="30"/>
      <c r="F315" s="31"/>
      <c r="G315" s="31"/>
      <c r="H315" s="31"/>
      <c r="I315" s="31"/>
      <c r="J315" s="31"/>
      <c r="K315" s="31"/>
      <c r="L315" s="31"/>
      <c r="M315" s="31"/>
      <c r="N315" s="31"/>
      <c r="O315" s="31"/>
      <c r="P315" s="31"/>
      <c r="Q315" s="31"/>
      <c r="R315" s="31"/>
      <c r="S315" s="31"/>
      <c r="T315" s="31"/>
      <c r="U315" s="31"/>
      <c r="V315" s="31"/>
      <c r="W315" s="31"/>
      <c r="X315" s="31"/>
      <c r="Y315" s="31"/>
      <c r="Z315" s="31"/>
    </row>
    <row r="316" spans="1:26" ht="13.5" customHeight="1">
      <c r="A316" s="31"/>
      <c r="B316" s="31"/>
      <c r="C316" s="44"/>
      <c r="D316" s="31"/>
      <c r="E316" s="30"/>
      <c r="F316" s="31"/>
      <c r="G316" s="31"/>
      <c r="H316" s="31"/>
      <c r="I316" s="31"/>
      <c r="J316" s="31"/>
      <c r="K316" s="31"/>
      <c r="L316" s="31"/>
      <c r="M316" s="31"/>
      <c r="N316" s="31"/>
      <c r="O316" s="31"/>
      <c r="P316" s="31"/>
      <c r="Q316" s="31"/>
      <c r="R316" s="31"/>
      <c r="S316" s="31"/>
      <c r="T316" s="31"/>
      <c r="U316" s="31"/>
      <c r="V316" s="31"/>
      <c r="W316" s="31"/>
      <c r="X316" s="31"/>
      <c r="Y316" s="31"/>
      <c r="Z316" s="31"/>
    </row>
    <row r="317" spans="1:26" ht="13.5" customHeight="1">
      <c r="A317" s="31"/>
      <c r="B317" s="31"/>
      <c r="C317" s="44"/>
      <c r="D317" s="31"/>
      <c r="E317" s="30"/>
      <c r="F317" s="31"/>
      <c r="G317" s="31"/>
      <c r="H317" s="31"/>
      <c r="I317" s="31"/>
      <c r="J317" s="31"/>
      <c r="K317" s="31"/>
      <c r="L317" s="31"/>
      <c r="M317" s="31"/>
      <c r="N317" s="31"/>
      <c r="O317" s="31"/>
      <c r="P317" s="31"/>
      <c r="Q317" s="31"/>
      <c r="R317" s="31"/>
      <c r="S317" s="31"/>
      <c r="T317" s="31"/>
      <c r="U317" s="31"/>
      <c r="V317" s="31"/>
      <c r="W317" s="31"/>
      <c r="X317" s="31"/>
      <c r="Y317" s="31"/>
      <c r="Z317" s="31"/>
    </row>
    <row r="318" spans="1:26" ht="13.5" customHeight="1">
      <c r="A318" s="31"/>
      <c r="B318" s="31"/>
      <c r="C318" s="44"/>
      <c r="D318" s="31"/>
      <c r="E318" s="30"/>
      <c r="F318" s="31"/>
      <c r="G318" s="31"/>
      <c r="H318" s="31"/>
      <c r="I318" s="31"/>
      <c r="J318" s="31"/>
      <c r="K318" s="31"/>
      <c r="L318" s="31"/>
      <c r="M318" s="31"/>
      <c r="N318" s="31"/>
      <c r="O318" s="31"/>
      <c r="P318" s="31"/>
      <c r="Q318" s="31"/>
      <c r="R318" s="31"/>
      <c r="S318" s="31"/>
      <c r="T318" s="31"/>
      <c r="U318" s="31"/>
      <c r="V318" s="31"/>
      <c r="W318" s="31"/>
      <c r="X318" s="31"/>
      <c r="Y318" s="31"/>
      <c r="Z318" s="31"/>
    </row>
    <row r="319" spans="1:26" ht="13.5" customHeight="1">
      <c r="A319" s="31"/>
      <c r="B319" s="31"/>
      <c r="C319" s="44"/>
      <c r="D319" s="31"/>
      <c r="E319" s="30"/>
      <c r="F319" s="31"/>
      <c r="G319" s="31"/>
      <c r="H319" s="31"/>
      <c r="I319" s="31"/>
      <c r="J319" s="31"/>
      <c r="K319" s="31"/>
      <c r="L319" s="31"/>
      <c r="M319" s="31"/>
      <c r="N319" s="31"/>
      <c r="O319" s="31"/>
      <c r="P319" s="31"/>
      <c r="Q319" s="31"/>
      <c r="R319" s="31"/>
      <c r="S319" s="31"/>
      <c r="T319" s="31"/>
      <c r="U319" s="31"/>
      <c r="V319" s="31"/>
      <c r="W319" s="31"/>
      <c r="X319" s="31"/>
      <c r="Y319" s="31"/>
      <c r="Z319" s="31"/>
    </row>
    <row r="320" spans="1:26" ht="13.5" customHeight="1">
      <c r="A320" s="31"/>
      <c r="B320" s="31"/>
      <c r="C320" s="44"/>
      <c r="D320" s="31"/>
      <c r="E320" s="30"/>
      <c r="F320" s="31"/>
      <c r="G320" s="31"/>
      <c r="H320" s="31"/>
      <c r="I320" s="31"/>
      <c r="J320" s="31"/>
      <c r="K320" s="31"/>
      <c r="L320" s="31"/>
      <c r="M320" s="31"/>
      <c r="N320" s="31"/>
      <c r="O320" s="31"/>
      <c r="P320" s="31"/>
      <c r="Q320" s="31"/>
      <c r="R320" s="31"/>
      <c r="S320" s="31"/>
      <c r="T320" s="31"/>
      <c r="U320" s="31"/>
      <c r="V320" s="31"/>
      <c r="W320" s="31"/>
      <c r="X320" s="31"/>
      <c r="Y320" s="31"/>
      <c r="Z320" s="31"/>
    </row>
    <row r="321" spans="1:26" ht="13.5" customHeight="1">
      <c r="A321" s="31"/>
      <c r="B321" s="31"/>
      <c r="C321" s="44"/>
      <c r="D321" s="31"/>
      <c r="E321" s="30"/>
      <c r="F321" s="31"/>
      <c r="G321" s="31"/>
      <c r="H321" s="31"/>
      <c r="I321" s="31"/>
      <c r="J321" s="31"/>
      <c r="K321" s="31"/>
      <c r="L321" s="31"/>
      <c r="M321" s="31"/>
      <c r="N321" s="31"/>
      <c r="O321" s="31"/>
      <c r="P321" s="31"/>
      <c r="Q321" s="31"/>
      <c r="R321" s="31"/>
      <c r="S321" s="31"/>
      <c r="T321" s="31"/>
      <c r="U321" s="31"/>
      <c r="V321" s="31"/>
      <c r="W321" s="31"/>
      <c r="X321" s="31"/>
      <c r="Y321" s="31"/>
      <c r="Z321" s="31"/>
    </row>
    <row r="322" spans="1:26" ht="13.5" customHeight="1">
      <c r="A322" s="31"/>
      <c r="B322" s="31"/>
      <c r="C322" s="44"/>
      <c r="D322" s="31"/>
      <c r="E322" s="30"/>
      <c r="F322" s="31"/>
      <c r="G322" s="31"/>
      <c r="H322" s="31"/>
      <c r="I322" s="31"/>
      <c r="J322" s="31"/>
      <c r="K322" s="31"/>
      <c r="L322" s="31"/>
      <c r="M322" s="31"/>
      <c r="N322" s="31"/>
      <c r="O322" s="31"/>
      <c r="P322" s="31"/>
      <c r="Q322" s="31"/>
      <c r="R322" s="31"/>
      <c r="S322" s="31"/>
      <c r="T322" s="31"/>
      <c r="U322" s="31"/>
      <c r="V322" s="31"/>
      <c r="W322" s="31"/>
      <c r="X322" s="31"/>
      <c r="Y322" s="31"/>
      <c r="Z322" s="31"/>
    </row>
    <row r="323" spans="1:26" ht="13.5" customHeight="1">
      <c r="A323" s="31"/>
      <c r="B323" s="31"/>
      <c r="C323" s="44"/>
      <c r="D323" s="31"/>
      <c r="E323" s="30"/>
      <c r="F323" s="31"/>
      <c r="G323" s="31"/>
      <c r="H323" s="31"/>
      <c r="I323" s="31"/>
      <c r="J323" s="31"/>
      <c r="K323" s="31"/>
      <c r="L323" s="31"/>
      <c r="M323" s="31"/>
      <c r="N323" s="31"/>
      <c r="O323" s="31"/>
      <c r="P323" s="31"/>
      <c r="Q323" s="31"/>
      <c r="R323" s="31"/>
      <c r="S323" s="31"/>
      <c r="T323" s="31"/>
      <c r="U323" s="31"/>
      <c r="V323" s="31"/>
      <c r="W323" s="31"/>
      <c r="X323" s="31"/>
      <c r="Y323" s="31"/>
      <c r="Z323" s="31"/>
    </row>
    <row r="324" spans="1:26" ht="13.5" customHeight="1"/>
    <row r="325" spans="1:26" ht="13.5" customHeight="1"/>
    <row r="326" spans="1:26" ht="13.5" customHeight="1"/>
    <row r="327" spans="1:26" ht="13.5" customHeight="1"/>
    <row r="328" spans="1:26" ht="13.5" customHeight="1"/>
    <row r="329" spans="1:26" ht="13.5" customHeight="1"/>
    <row r="330" spans="1:26" ht="13.5" customHeight="1"/>
    <row r="331" spans="1:26" ht="13.5" customHeight="1"/>
    <row r="332" spans="1:26" ht="13.5" customHeight="1"/>
    <row r="333" spans="1:26" ht="13.5" customHeight="1"/>
    <row r="334" spans="1:26" ht="13.5" customHeight="1"/>
    <row r="335" spans="1:26" ht="13.5" customHeight="1"/>
    <row r="336" spans="1:2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00_Readme</vt:lpstr>
      <vt:lpstr>01_All_Migrated_Integrated</vt:lpstr>
      <vt:lpstr>02_Dashboard</vt:lpstr>
      <vt:lpstr>03_Product_Quality_Scope</vt:lpstr>
      <vt:lpstr>03_QG_Check_Matrix</vt:lpstr>
      <vt:lpstr>05_QG_Pass_Rules</vt:lpstr>
      <vt:lpstr>06_Evidence_Library</vt:lpstr>
      <vt:lpstr>07_Raw_Data_UL</vt:lpstr>
      <vt:lpstr>08_Raw_Data_Texis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Robin Xu (Woven by Toyota, Inc.)/Robin Xu</cp:lastModifiedBy>
  <dcterms:modified xsi:type="dcterms:W3CDTF">2026-06-01T08:51:26Z</dcterms:modified>
</cp:coreProperties>
</file>